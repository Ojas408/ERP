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onthly Reporting\MARCH2026 REPORTING\"/>
    </mc:Choice>
  </mc:AlternateContent>
  <xr:revisionPtr revIDLastSave="0" documentId="13_ncr:1_{B6CF6961-8F7C-43B8-9394-3DD7D0459B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bined All Plant" sheetId="7" r:id="rId1"/>
    <sheet name="KRH" sheetId="1" r:id="rId2"/>
    <sheet name="GDI PLAN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7" l="1"/>
  <c r="D43" i="7"/>
  <c r="C61" i="7" s="1"/>
  <c r="D40" i="7"/>
  <c r="D39" i="7"/>
  <c r="D38" i="7"/>
  <c r="D37" i="7"/>
  <c r="D36" i="7"/>
  <c r="E51" i="6"/>
  <c r="D54" i="6"/>
  <c r="C63" i="6" s="1"/>
  <c r="D43" i="6"/>
  <c r="F36" i="6" s="1"/>
  <c r="E51" i="1"/>
  <c r="D54" i="1"/>
  <c r="D43" i="1"/>
  <c r="D39" i="1"/>
  <c r="D38" i="1"/>
  <c r="D37" i="1"/>
  <c r="D36" i="1"/>
  <c r="D54" i="7"/>
  <c r="C63" i="7" s="1"/>
  <c r="D53" i="7"/>
  <c r="D51" i="7"/>
  <c r="D47" i="7"/>
  <c r="C62" i="7" s="1"/>
  <c r="C42" i="7"/>
  <c r="C41" i="7"/>
  <c r="C39" i="7"/>
  <c r="C38" i="7"/>
  <c r="C37" i="7"/>
  <c r="C36" i="7"/>
  <c r="C31" i="7"/>
  <c r="C30" i="7"/>
  <c r="D30" i="7" s="1"/>
  <c r="C29" i="7"/>
  <c r="D29" i="7" s="1"/>
  <c r="C28" i="7"/>
  <c r="C27" i="7"/>
  <c r="D27" i="7" s="1"/>
  <c r="C26" i="7"/>
  <c r="C25" i="7"/>
  <c r="D25" i="7" s="1"/>
  <c r="C17" i="7"/>
  <c r="B20" i="7"/>
  <c r="B19" i="7"/>
  <c r="B18" i="7"/>
  <c r="B17" i="7"/>
  <c r="D12" i="7"/>
  <c r="D11" i="7"/>
  <c r="D10" i="7"/>
  <c r="D9" i="7"/>
  <c r="C11" i="7"/>
  <c r="C10" i="7"/>
  <c r="C9" i="7"/>
  <c r="D8" i="7"/>
  <c r="C8" i="7"/>
  <c r="B11" i="7"/>
  <c r="B10" i="7"/>
  <c r="B9" i="7"/>
  <c r="B8" i="7"/>
  <c r="B7" i="7"/>
  <c r="D31" i="7"/>
  <c r="B29" i="7"/>
  <c r="B28" i="7"/>
  <c r="B27" i="7"/>
  <c r="D26" i="7"/>
  <c r="B26" i="7"/>
  <c r="C62" i="6"/>
  <c r="E47" i="6"/>
  <c r="D31" i="6"/>
  <c r="D30" i="6"/>
  <c r="D29" i="6"/>
  <c r="B29" i="6"/>
  <c r="B28" i="6"/>
  <c r="D28" i="6" s="1"/>
  <c r="D27" i="6"/>
  <c r="B27" i="6"/>
  <c r="D26" i="6"/>
  <c r="B26" i="6"/>
  <c r="D25" i="6"/>
  <c r="B21" i="6"/>
  <c r="D10" i="6"/>
  <c r="D13" i="6" s="1"/>
  <c r="C58" i="6" s="1"/>
  <c r="C63" i="1"/>
  <c r="C64" i="1" s="1"/>
  <c r="C62" i="1"/>
  <c r="C61" i="1"/>
  <c r="C60" i="1"/>
  <c r="C59" i="1"/>
  <c r="C58" i="1"/>
  <c r="E47" i="1"/>
  <c r="F36" i="1"/>
  <c r="D30" i="1"/>
  <c r="D31" i="1"/>
  <c r="D25" i="1"/>
  <c r="C26" i="1"/>
  <c r="B29" i="1"/>
  <c r="D29" i="1" s="1"/>
  <c r="B28" i="1"/>
  <c r="D28" i="1" s="1"/>
  <c r="B27" i="1"/>
  <c r="D27" i="1" s="1"/>
  <c r="B26" i="1"/>
  <c r="D26" i="1" s="1"/>
  <c r="C10" i="1"/>
  <c r="D10" i="1" s="1"/>
  <c r="D13" i="1" s="1"/>
  <c r="D12" i="1"/>
  <c r="D8" i="1"/>
  <c r="C8" i="1" s="1"/>
  <c r="B17" i="1"/>
  <c r="H40" i="1"/>
  <c r="B21" i="1"/>
  <c r="D17" i="1" s="1"/>
  <c r="C61" i="6" l="1"/>
  <c r="D62" i="1"/>
  <c r="E58" i="1"/>
  <c r="D60" i="1"/>
  <c r="D59" i="1"/>
  <c r="D63" i="1"/>
  <c r="D61" i="1"/>
  <c r="D58" i="1"/>
  <c r="D28" i="7"/>
  <c r="D32" i="7"/>
  <c r="F36" i="7"/>
  <c r="E47" i="7"/>
  <c r="B21" i="7"/>
  <c r="D13" i="7"/>
  <c r="C58" i="7" s="1"/>
  <c r="C60" i="7"/>
  <c r="E25" i="7"/>
  <c r="D17" i="7"/>
  <c r="F17" i="7"/>
  <c r="F17" i="6"/>
  <c r="D17" i="6"/>
  <c r="D32" i="6"/>
  <c r="D32" i="1"/>
  <c r="E25" i="1" s="1"/>
  <c r="F17" i="1"/>
  <c r="G17" i="1" s="1"/>
  <c r="G17" i="7" l="1"/>
  <c r="C59" i="7"/>
  <c r="C60" i="6"/>
  <c r="E25" i="6"/>
  <c r="G17" i="6"/>
  <c r="C59" i="6"/>
  <c r="C64" i="7" l="1"/>
  <c r="C64" i="6"/>
  <c r="D60" i="6" s="1"/>
  <c r="E58" i="7" l="1"/>
  <c r="D62" i="7"/>
  <c r="D63" i="7"/>
  <c r="D61" i="7"/>
  <c r="D58" i="7"/>
  <c r="D60" i="7"/>
  <c r="D59" i="7"/>
  <c r="D63" i="6"/>
  <c r="D61" i="6"/>
  <c r="E58" i="6"/>
  <c r="D62" i="6"/>
  <c r="D58" i="6"/>
  <c r="D59" i="6"/>
</calcChain>
</file>

<file path=xl/sharedStrings.xml><?xml version="1.0" encoding="utf-8"?>
<sst xmlns="http://schemas.openxmlformats.org/spreadsheetml/2006/main" count="318" uniqueCount="108">
  <si>
    <t>RMC Batching Plant – Monthly Overheads Report</t>
  </si>
  <si>
    <t>Total Monthly Cost (₹)</t>
  </si>
  <si>
    <t>Remarks</t>
  </si>
  <si>
    <t>Manpower Overheads</t>
  </si>
  <si>
    <t>Machinery Overheads</t>
  </si>
  <si>
    <t>Fuel &amp; Lubricants Overheads</t>
  </si>
  <si>
    <t>Electricity &amp; Power Overheads</t>
  </si>
  <si>
    <t>Total Monthly Overhead (₹)</t>
  </si>
  <si>
    <t>Category</t>
  </si>
  <si>
    <t>No. of Persons</t>
  </si>
  <si>
    <t>Total Cost (₹)</t>
  </si>
  <si>
    <t>Batching Plant Operator</t>
  </si>
  <si>
    <t>Housekeeping / Office Staff</t>
  </si>
  <si>
    <t>Total Manpower Overhead</t>
  </si>
  <si>
    <t>Equipment</t>
  </si>
  <si>
    <t>Qty</t>
  </si>
  <si>
    <t>Rate/Month (₹)</t>
  </si>
  <si>
    <t>Batching Plant (Main Unit)</t>
  </si>
  <si>
    <t>Total Machinery Overhead</t>
  </si>
  <si>
    <t>Description</t>
  </si>
  <si>
    <t>Consumption (Litres)</t>
  </si>
  <si>
    <t>Total Fuel Overhead</t>
  </si>
  <si>
    <t>5. Electricity and Power Overheads</t>
  </si>
  <si>
    <t>Units Consumed (kWh)</t>
  </si>
  <si>
    <t>Rate (₹/Unit)</t>
  </si>
  <si>
    <t>Material</t>
  </si>
  <si>
    <t>Cement</t>
  </si>
  <si>
    <t>Fine Aggregate</t>
  </si>
  <si>
    <t>Fly Ash</t>
  </si>
  <si>
    <t>Admixtures</t>
  </si>
  <si>
    <t>Total Raw Material Overhead</t>
  </si>
  <si>
    <t>Total Miscellaneous Overhead</t>
  </si>
  <si>
    <t>Overhead Category</t>
  </si>
  <si>
    <t>% of Total Overhead</t>
  </si>
  <si>
    <t>Plant Name: KRH PLANT</t>
  </si>
  <si>
    <t>Month &amp; Year: MARCH 2026</t>
  </si>
  <si>
    <t>Submitted to (for review): Jitendra Sir, Mukesh Mokha Sir</t>
  </si>
  <si>
    <t>Prepared by: Reetesh Sharma, Manager - Quality</t>
  </si>
  <si>
    <t>Raw Material Overheads</t>
  </si>
  <si>
    <t>1. Machinery Overhead</t>
  </si>
  <si>
    <t>2. Fuel and Lubricant Overheads</t>
  </si>
  <si>
    <t>3. Raw Material Overheads</t>
  </si>
  <si>
    <t>4. Manpower Overhead (Labour Expenses)</t>
  </si>
  <si>
    <t>Plant Name: GDI PLANT</t>
  </si>
  <si>
    <t>Diesel – JCB</t>
  </si>
  <si>
    <t>Diesel – LOADER</t>
  </si>
  <si>
    <t>Diesel – DG</t>
  </si>
  <si>
    <t>TOTAL PRODUCTION (IN CuM.)</t>
  </si>
  <si>
    <t>AVERAGE FUEL CONSUMPTION (IN LITRES PER CuM.)</t>
  </si>
  <si>
    <t>Rate of Fuel (₹/Litre)</t>
  </si>
  <si>
    <t>Transit Mixers (TMs)</t>
  </si>
  <si>
    <t>Loader</t>
  </si>
  <si>
    <t>JCB</t>
  </si>
  <si>
    <t>Concrete Pumps</t>
  </si>
  <si>
    <t>Maintenance &amp; Spares</t>
  </si>
  <si>
    <t>Water Tanker</t>
  </si>
  <si>
    <t>Maintenance &amp; Electrical Team</t>
  </si>
  <si>
    <t>Quality Team</t>
  </si>
  <si>
    <t>Helper / Unskilled Labour</t>
  </si>
  <si>
    <t>Production Supervision Team</t>
  </si>
  <si>
    <t>JCB &amp; Loader Operator</t>
  </si>
  <si>
    <t>Compliance &amp; External Tests etc.</t>
  </si>
  <si>
    <t>Vikas, Sandeep, Manoj, Joginder, Golu</t>
  </si>
  <si>
    <t>Not Deployed</t>
  </si>
  <si>
    <t>Suraj, Sangat, Rajesh</t>
  </si>
  <si>
    <t>Rohit, Pramod</t>
  </si>
  <si>
    <t>Deployed on part of the vendor</t>
  </si>
  <si>
    <t>on the part of the Vendor</t>
  </si>
  <si>
    <t>Bhola, Jitin</t>
  </si>
  <si>
    <t>Lovekush</t>
  </si>
  <si>
    <t>Company Owned Plant</t>
  </si>
  <si>
    <t>JCB not Deployed at KRH</t>
  </si>
  <si>
    <t>Pump not deployed at KRH in March</t>
  </si>
  <si>
    <t>Mostly used for Bottom Tiles, Shovel etc. for Plant Mixer at KRH</t>
  </si>
  <si>
    <t>Rented Loader</t>
  </si>
  <si>
    <t>Rented TMs- Shared Resources, used interchangeably at both plants. Final cost amount not yet confirmed as breakdown deduction to be done from this amount</t>
  </si>
  <si>
    <t>Fuel Cost per CuM. (₹)</t>
  </si>
  <si>
    <t>Diesel – TMs (Shared Resources, used interchangeably at both plants)</t>
  </si>
  <si>
    <t>Avg. Cost per MT (₹)</t>
  </si>
  <si>
    <t>20mm Aggregate</t>
  </si>
  <si>
    <t>10mm Aggregate</t>
  </si>
  <si>
    <t>Monthly Quantity Consumed (MT)</t>
  </si>
  <si>
    <t>Raw Material Cost Per CuM. (₹)</t>
  </si>
  <si>
    <t>Details of Personnel Deployed</t>
  </si>
  <si>
    <t>Deployed on part of the labour contractor</t>
  </si>
  <si>
    <t>Not deployed</t>
  </si>
  <si>
    <t>Manpower Cost Per CuM. (₹)</t>
  </si>
  <si>
    <t>Electricity Cost Per CuM. (₹)</t>
  </si>
  <si>
    <t>Power consumption overhead for overall Plant Operations</t>
  </si>
  <si>
    <t>6. Maintenance and Miscellaneous Overheads</t>
  </si>
  <si>
    <t>Miscellaneous Cost Per CuM. (₹)</t>
  </si>
  <si>
    <t xml:space="preserve">Vehicle Servicing &amp; Maintenance </t>
  </si>
  <si>
    <t xml:space="preserve">TMT Steel bars, </t>
  </si>
  <si>
    <t>Overall Monthly Overheads Summary</t>
  </si>
  <si>
    <t>Overall All-Inclusive Cost Per CuM. (₹)</t>
  </si>
  <si>
    <t>Maintenance &amp; Miscellaneous</t>
  </si>
  <si>
    <t>General Maintenance &amp; Repairs</t>
  </si>
  <si>
    <t>Suggestions/Recommendations (if any):</t>
  </si>
  <si>
    <t>Rented JCB deployed at GDI</t>
  </si>
  <si>
    <t>Pump not deployed at GDI in March</t>
  </si>
  <si>
    <t>Mostly used for Batching Plant spares</t>
  </si>
  <si>
    <t>Shared Resources amongst both plants, cost already considered in KRH</t>
  </si>
  <si>
    <t>…..</t>
  </si>
  <si>
    <t>ALL PLANTS COMBINED (KRH &amp; GDI)</t>
  </si>
  <si>
    <t>RMC Batching Plant Jaypee Wish Town – Monthly Overheads Report</t>
  </si>
  <si>
    <t>Flyash Testing from TruScience Lab</t>
  </si>
  <si>
    <t>Rohit</t>
  </si>
  <si>
    <t>Vitul, Suraj, Sangat, Rajesh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</si>
</sst>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3" borderId="0" xfId="0" applyFill="1"/>
    <xf numFmtId="16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right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0" fillId="4" borderId="1" xfId="0" applyFill="1" applyBorder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 wrapText="1"/>
    </xf>
    <xf numFmtId="0" fontId="0" fillId="3" borderId="1" xfId="0" applyFill="1" applyBorder="1"/>
    <xf numFmtId="1" fontId="0" fillId="3" borderId="1" xfId="0" applyNumberFormat="1" applyFill="1" applyBorder="1" applyAlignment="1">
      <alignment horizontal="right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2" fontId="1" fillId="4" borderId="19" xfId="0" applyNumberFormat="1" applyFont="1" applyFill="1" applyBorder="1" applyAlignment="1">
      <alignment horizontal="center" vertical="center" wrapText="1"/>
    </xf>
    <xf numFmtId="2" fontId="1" fillId="4" borderId="21" xfId="0" applyNumberFormat="1" applyFont="1" applyFill="1" applyBorder="1" applyAlignment="1">
      <alignment horizontal="center" vertical="center" wrapText="1"/>
    </xf>
    <xf numFmtId="2" fontId="1" fillId="4" borderId="2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164" fontId="1" fillId="5" borderId="17" xfId="0" applyNumberFormat="1" applyFont="1" applyFill="1" applyBorder="1" applyAlignment="1">
      <alignment horizontal="center" vertical="center" wrapText="1"/>
    </xf>
    <xf numFmtId="164" fontId="1" fillId="5" borderId="11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4" borderId="17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2" fontId="0" fillId="4" borderId="11" xfId="0" applyNumberFormat="1" applyFill="1" applyBorder="1" applyAlignment="1">
      <alignment horizontal="center" vertical="center" wrapText="1"/>
    </xf>
    <xf numFmtId="2" fontId="0" fillId="4" borderId="10" xfId="0" applyNumberForma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4" borderId="19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2" fontId="0" fillId="5" borderId="1" xfId="0" applyNumberFormat="1" applyFill="1" applyBorder="1" applyAlignment="1">
      <alignment horizontal="center" vertical="center"/>
    </xf>
    <xf numFmtId="2" fontId="0" fillId="5" borderId="19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3" fillId="3" borderId="18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1" fontId="0" fillId="4" borderId="28" xfId="0" applyNumberFormat="1" applyFill="1" applyBorder="1" applyAlignment="1">
      <alignment horizontal="center" vertical="center" wrapText="1"/>
    </xf>
    <xf numFmtId="1" fontId="0" fillId="4" borderId="29" xfId="0" applyNumberFormat="1" applyFill="1" applyBorder="1" applyAlignment="1">
      <alignment horizontal="center" vertical="center" wrapText="1"/>
    </xf>
    <xf numFmtId="2" fontId="0" fillId="4" borderId="19" xfId="0" applyNumberFormat="1" applyFill="1" applyBorder="1" applyAlignment="1">
      <alignment horizontal="center" vertical="center" wrapText="1"/>
    </xf>
    <xf numFmtId="2" fontId="0" fillId="4" borderId="21" xfId="0" applyNumberFormat="1" applyFill="1" applyBorder="1" applyAlignment="1">
      <alignment horizontal="center" vertical="center" wrapText="1"/>
    </xf>
    <xf numFmtId="2" fontId="0" fillId="4" borderId="22" xfId="0" applyNumberFormat="1" applyFill="1" applyBorder="1" applyAlignment="1">
      <alignment horizontal="center" vertical="center" wrapText="1"/>
    </xf>
    <xf numFmtId="164" fontId="1" fillId="4" borderId="17" xfId="0" applyNumberFormat="1" applyFont="1" applyFill="1" applyBorder="1" applyAlignment="1">
      <alignment horizontal="center" vertical="center" wrapText="1"/>
    </xf>
    <xf numFmtId="164" fontId="1" fillId="4" borderId="11" xfId="0" applyNumberFormat="1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028B-DF61-44D0-B803-C432B33ACF07}">
  <sheetPr>
    <tabColor rgb="FF92D050"/>
  </sheetPr>
  <dimension ref="A1:H65"/>
  <sheetViews>
    <sheetView tabSelected="1" topLeftCell="A56" zoomScale="90" zoomScaleNormal="90" workbookViewId="0">
      <selection activeCell="M63" sqref="M63"/>
    </sheetView>
  </sheetViews>
  <sheetFormatPr defaultRowHeight="15" x14ac:dyDescent="0.25"/>
  <cols>
    <col min="1" max="1" width="44.28515625" style="1" customWidth="1"/>
    <col min="2" max="2" width="12.140625" customWidth="1"/>
    <col min="3" max="3" width="15.28515625" customWidth="1"/>
    <col min="4" max="4" width="17.140625" customWidth="1"/>
    <col min="5" max="5" width="34.5703125" customWidth="1"/>
    <col min="6" max="6" width="12.42578125" customWidth="1"/>
    <col min="7" max="7" width="13.42578125" customWidth="1"/>
  </cols>
  <sheetData>
    <row r="1" spans="1:7" ht="63" hidden="1" customHeight="1" x14ac:dyDescent="0.25">
      <c r="A1" s="35" t="s">
        <v>104</v>
      </c>
      <c r="B1" s="36"/>
      <c r="C1" s="36"/>
      <c r="D1" s="36"/>
      <c r="E1" s="36"/>
      <c r="F1" s="36"/>
      <c r="G1" s="37"/>
    </row>
    <row r="2" spans="1:7" ht="34.5" hidden="1" customHeight="1" thickBot="1" x14ac:dyDescent="0.3">
      <c r="A2" s="38" t="s">
        <v>103</v>
      </c>
      <c r="B2" s="39"/>
      <c r="C2" s="39"/>
      <c r="D2" s="39" t="s">
        <v>35</v>
      </c>
      <c r="E2" s="39"/>
      <c r="F2" s="39"/>
      <c r="G2" s="40"/>
    </row>
    <row r="3" spans="1:7" ht="38.25" hidden="1" customHeight="1" thickBot="1" x14ac:dyDescent="0.3">
      <c r="A3" s="41" t="s">
        <v>37</v>
      </c>
      <c r="B3" s="42"/>
      <c r="C3" s="42"/>
      <c r="D3" s="42" t="s">
        <v>36</v>
      </c>
      <c r="E3" s="42"/>
      <c r="F3" s="42"/>
      <c r="G3" s="43"/>
    </row>
    <row r="4" spans="1:7" s="10" customFormat="1" ht="23.25" hidden="1" customHeight="1" x14ac:dyDescent="0.25">
      <c r="A4" s="44"/>
      <c r="B4" s="44"/>
      <c r="C4" s="44"/>
      <c r="D4" s="44"/>
      <c r="E4" s="44"/>
      <c r="F4" s="44"/>
      <c r="G4" s="44"/>
    </row>
    <row r="5" spans="1:7" ht="39" hidden="1" customHeight="1" x14ac:dyDescent="0.25">
      <c r="A5" s="45" t="s">
        <v>39</v>
      </c>
      <c r="B5" s="46"/>
      <c r="C5" s="46"/>
      <c r="D5" s="46"/>
      <c r="E5" s="46"/>
      <c r="F5" s="46"/>
      <c r="G5" s="47"/>
    </row>
    <row r="6" spans="1:7" ht="18.75" hidden="1" customHeight="1" x14ac:dyDescent="0.25">
      <c r="A6" s="15" t="s">
        <v>14</v>
      </c>
      <c r="B6" s="15" t="s">
        <v>15</v>
      </c>
      <c r="C6" s="16" t="s">
        <v>16</v>
      </c>
      <c r="D6" s="16" t="s">
        <v>10</v>
      </c>
      <c r="E6" s="48" t="s">
        <v>2</v>
      </c>
      <c r="F6" s="48"/>
      <c r="G6" s="48"/>
    </row>
    <row r="7" spans="1:7" hidden="1" x14ac:dyDescent="0.25">
      <c r="A7" s="2" t="s">
        <v>17</v>
      </c>
      <c r="B7" s="8">
        <f>KRH!B7+'GDI PLANT'!B7</f>
        <v>2</v>
      </c>
      <c r="C7" s="8"/>
      <c r="D7" s="8">
        <v>0</v>
      </c>
      <c r="E7" s="34" t="s">
        <v>70</v>
      </c>
      <c r="F7" s="34"/>
      <c r="G7" s="34"/>
    </row>
    <row r="8" spans="1:7" ht="60" hidden="1" customHeight="1" x14ac:dyDescent="0.25">
      <c r="A8" s="2" t="s">
        <v>50</v>
      </c>
      <c r="B8" s="8">
        <f>KRH!B8+'GDI PLANT'!B8</f>
        <v>14</v>
      </c>
      <c r="C8" s="11">
        <f>KRH!C8+'GDI PLANT'!C8</f>
        <v>139705.95000000001</v>
      </c>
      <c r="D8" s="12">
        <f>KRH!D8+'GDI PLANT'!D8</f>
        <v>1955883.3</v>
      </c>
      <c r="E8" s="34" t="s">
        <v>75</v>
      </c>
      <c r="F8" s="34"/>
      <c r="G8" s="34"/>
    </row>
    <row r="9" spans="1:7" hidden="1" x14ac:dyDescent="0.25">
      <c r="A9" s="2" t="s">
        <v>52</v>
      </c>
      <c r="B9" s="8">
        <f>KRH!B9+'GDI PLANT'!B9</f>
        <v>1</v>
      </c>
      <c r="C9" s="8">
        <f>KRH!C9+'GDI PLANT'!C9</f>
        <v>0</v>
      </c>
      <c r="D9" s="8">
        <f>KRH!D9+'GDI PLANT'!D9</f>
        <v>155760</v>
      </c>
      <c r="E9" s="34" t="s">
        <v>71</v>
      </c>
      <c r="F9" s="34"/>
      <c r="G9" s="34"/>
    </row>
    <row r="10" spans="1:7" hidden="1" x14ac:dyDescent="0.25">
      <c r="A10" s="2" t="s">
        <v>51</v>
      </c>
      <c r="B10" s="8">
        <f>KRH!B10+'GDI PLANT'!B10</f>
        <v>1</v>
      </c>
      <c r="C10" s="8">
        <f>KRH!C10+'GDI PLANT'!C10</f>
        <v>153400</v>
      </c>
      <c r="D10" s="8">
        <f>KRH!D10+'GDI PLANT'!D10</f>
        <v>153400</v>
      </c>
      <c r="E10" s="34" t="s">
        <v>74</v>
      </c>
      <c r="F10" s="34"/>
      <c r="G10" s="34"/>
    </row>
    <row r="11" spans="1:7" hidden="1" x14ac:dyDescent="0.25">
      <c r="A11" s="2" t="s">
        <v>53</v>
      </c>
      <c r="B11" s="8">
        <f>KRH!B11+'GDI PLANT'!B11</f>
        <v>0</v>
      </c>
      <c r="C11" s="8">
        <f>KRH!C11+'GDI PLANT'!C11</f>
        <v>0</v>
      </c>
      <c r="D11" s="8">
        <f>KRH!D11+'GDI PLANT'!D11</f>
        <v>0</v>
      </c>
      <c r="E11" s="34" t="s">
        <v>72</v>
      </c>
      <c r="F11" s="34"/>
      <c r="G11" s="34"/>
    </row>
    <row r="12" spans="1:7" ht="30" hidden="1" customHeight="1" x14ac:dyDescent="0.25">
      <c r="A12" s="2" t="s">
        <v>54</v>
      </c>
      <c r="B12" s="8"/>
      <c r="C12" s="8"/>
      <c r="D12" s="8">
        <f>KRH!D12+'GDI PLANT'!D12</f>
        <v>636048</v>
      </c>
      <c r="E12" s="34" t="s">
        <v>73</v>
      </c>
      <c r="F12" s="34"/>
      <c r="G12" s="34"/>
    </row>
    <row r="13" spans="1:7" ht="22.5" hidden="1" customHeight="1" x14ac:dyDescent="0.25">
      <c r="A13" s="3" t="s">
        <v>18</v>
      </c>
      <c r="B13" s="2"/>
      <c r="C13" s="5"/>
      <c r="D13" s="14">
        <f>SUM(D7:D12)</f>
        <v>2901091.3</v>
      </c>
      <c r="E13" s="55"/>
      <c r="F13" s="56"/>
      <c r="G13" s="57"/>
    </row>
    <row r="14" spans="1:7" ht="34.5" hidden="1" customHeight="1" x14ac:dyDescent="0.25">
      <c r="A14" s="58"/>
      <c r="B14" s="58"/>
      <c r="C14" s="58"/>
      <c r="D14" s="58"/>
      <c r="E14" s="58"/>
      <c r="F14" s="58"/>
      <c r="G14" s="58"/>
    </row>
    <row r="15" spans="1:7" ht="46.5" customHeight="1" x14ac:dyDescent="0.25">
      <c r="A15" s="59" t="s">
        <v>40</v>
      </c>
      <c r="B15" s="59"/>
      <c r="C15" s="59"/>
      <c r="D15" s="59"/>
      <c r="E15" s="59"/>
      <c r="F15" s="59"/>
      <c r="G15" s="59"/>
    </row>
    <row r="16" spans="1:7" ht="60" x14ac:dyDescent="0.25">
      <c r="A16" s="6" t="s">
        <v>19</v>
      </c>
      <c r="B16" s="6" t="s">
        <v>20</v>
      </c>
      <c r="C16" s="6" t="s">
        <v>47</v>
      </c>
      <c r="D16" s="6" t="s">
        <v>48</v>
      </c>
      <c r="E16" s="6" t="s">
        <v>49</v>
      </c>
      <c r="F16" s="7" t="s">
        <v>10</v>
      </c>
      <c r="G16" s="6" t="s">
        <v>76</v>
      </c>
    </row>
    <row r="17" spans="1:8" ht="30" x14ac:dyDescent="0.25">
      <c r="A17" s="2" t="s">
        <v>77</v>
      </c>
      <c r="B17" s="5">
        <f>KRH!B17+'GDI PLANT'!B17</f>
        <v>13660</v>
      </c>
      <c r="C17" s="34">
        <f>KRH!C17+'GDI PLANT'!C17</f>
        <v>7698</v>
      </c>
      <c r="D17" s="49">
        <f>B21/C17</f>
        <v>2.1044427123928293</v>
      </c>
      <c r="E17" s="50">
        <v>88.05</v>
      </c>
      <c r="F17" s="51">
        <f>E17*B21</f>
        <v>1426410</v>
      </c>
      <c r="G17" s="52">
        <f>F17/C17</f>
        <v>185.29618082618862</v>
      </c>
      <c r="H17" s="13"/>
    </row>
    <row r="18" spans="1:8" x14ac:dyDescent="0.25">
      <c r="A18" s="2" t="s">
        <v>44</v>
      </c>
      <c r="B18" s="5">
        <f>KRH!B18+'GDI PLANT'!B18</f>
        <v>1300</v>
      </c>
      <c r="C18" s="34"/>
      <c r="D18" s="49"/>
      <c r="E18" s="50"/>
      <c r="F18" s="51"/>
      <c r="G18" s="53"/>
    </row>
    <row r="19" spans="1:8" x14ac:dyDescent="0.25">
      <c r="A19" s="2" t="s">
        <v>45</v>
      </c>
      <c r="B19" s="5">
        <f>KRH!B19+'GDI PLANT'!B19</f>
        <v>1220</v>
      </c>
      <c r="C19" s="34"/>
      <c r="D19" s="49"/>
      <c r="E19" s="50"/>
      <c r="F19" s="51"/>
      <c r="G19" s="53"/>
    </row>
    <row r="20" spans="1:8" x14ac:dyDescent="0.25">
      <c r="A20" s="2" t="s">
        <v>46</v>
      </c>
      <c r="B20" s="5">
        <f>KRH!B20+'GDI PLANT'!B20</f>
        <v>20</v>
      </c>
      <c r="C20" s="34"/>
      <c r="D20" s="49"/>
      <c r="E20" s="50"/>
      <c r="F20" s="51"/>
      <c r="G20" s="53"/>
    </row>
    <row r="21" spans="1:8" ht="19.5" customHeight="1" x14ac:dyDescent="0.25">
      <c r="A21" s="3" t="s">
        <v>21</v>
      </c>
      <c r="B21" s="7">
        <f>SUM(B17:B20)</f>
        <v>16200</v>
      </c>
      <c r="C21" s="34"/>
      <c r="D21" s="49"/>
      <c r="E21" s="50"/>
      <c r="F21" s="51"/>
      <c r="G21" s="54"/>
    </row>
    <row r="22" spans="1:8" ht="33.75" customHeight="1" x14ac:dyDescent="0.25">
      <c r="A22" s="60"/>
      <c r="B22" s="60"/>
      <c r="C22" s="60"/>
      <c r="D22" s="60"/>
      <c r="E22" s="60"/>
      <c r="F22" s="60"/>
      <c r="G22" s="60"/>
    </row>
    <row r="23" spans="1:8" ht="38.25" customHeight="1" x14ac:dyDescent="0.25">
      <c r="A23" s="45" t="s">
        <v>41</v>
      </c>
      <c r="B23" s="46"/>
      <c r="C23" s="46"/>
      <c r="D23" s="46"/>
      <c r="E23" s="46"/>
      <c r="F23" s="46"/>
      <c r="G23" s="47"/>
    </row>
    <row r="24" spans="1:8" ht="45" x14ac:dyDescent="0.25">
      <c r="A24" s="15" t="s">
        <v>25</v>
      </c>
      <c r="B24" s="15" t="s">
        <v>78</v>
      </c>
      <c r="C24" s="15" t="s">
        <v>81</v>
      </c>
      <c r="D24" s="15" t="s">
        <v>10</v>
      </c>
      <c r="E24" s="18" t="s">
        <v>82</v>
      </c>
      <c r="F24" s="61" t="s">
        <v>2</v>
      </c>
      <c r="G24" s="62"/>
    </row>
    <row r="25" spans="1:8" x14ac:dyDescent="0.25">
      <c r="A25" s="2" t="s">
        <v>26</v>
      </c>
      <c r="B25" s="11">
        <v>6619.99</v>
      </c>
      <c r="C25" s="8">
        <f>KRH!C25+'GDI PLANT'!C25</f>
        <v>2035.83</v>
      </c>
      <c r="D25" s="11">
        <f>B25*C25</f>
        <v>13477174.241699999</v>
      </c>
      <c r="E25" s="63">
        <f>D32/C17</f>
        <v>4640.3564908677581</v>
      </c>
      <c r="F25" s="34"/>
      <c r="G25" s="34"/>
    </row>
    <row r="26" spans="1:8" x14ac:dyDescent="0.25">
      <c r="A26" s="2" t="s">
        <v>79</v>
      </c>
      <c r="B26" s="9">
        <f>1280+5%*1280</f>
        <v>1344</v>
      </c>
      <c r="C26" s="8">
        <f>KRH!C26+'GDI PLANT'!C26</f>
        <v>4445</v>
      </c>
      <c r="D26" s="11">
        <f t="shared" ref="D26:D31" si="0">B26*C26</f>
        <v>5974080</v>
      </c>
      <c r="E26" s="63"/>
      <c r="F26" s="34"/>
      <c r="G26" s="34"/>
    </row>
    <row r="27" spans="1:8" x14ac:dyDescent="0.25">
      <c r="A27" s="2" t="s">
        <v>80</v>
      </c>
      <c r="B27" s="9">
        <f>1245+5%*1245</f>
        <v>1307.25</v>
      </c>
      <c r="C27" s="8">
        <f>KRH!C27+'GDI PLANT'!C27</f>
        <v>4252</v>
      </c>
      <c r="D27" s="11">
        <f t="shared" si="0"/>
        <v>5558427</v>
      </c>
      <c r="E27" s="63"/>
      <c r="F27" s="34"/>
      <c r="G27" s="34"/>
    </row>
    <row r="28" spans="1:8" x14ac:dyDescent="0.25">
      <c r="A28" s="2" t="s">
        <v>27</v>
      </c>
      <c r="B28" s="9">
        <f>1235+5%*1235</f>
        <v>1296.75</v>
      </c>
      <c r="C28" s="8">
        <f>KRH!C28+'GDI PLANT'!C28</f>
        <v>6490</v>
      </c>
      <c r="D28" s="11">
        <f t="shared" si="0"/>
        <v>8415907.5</v>
      </c>
      <c r="E28" s="63"/>
      <c r="F28" s="34"/>
      <c r="G28" s="34"/>
    </row>
    <row r="29" spans="1:8" x14ac:dyDescent="0.25">
      <c r="A29" s="2" t="s">
        <v>28</v>
      </c>
      <c r="B29" s="9">
        <f>1275+5%*1275</f>
        <v>1338.75</v>
      </c>
      <c r="C29" s="8">
        <f>KRH!C29+'GDI PLANT'!C29</f>
        <v>1001.8199999999999</v>
      </c>
      <c r="D29" s="11">
        <f t="shared" si="0"/>
        <v>1341186.5249999999</v>
      </c>
      <c r="E29" s="63"/>
      <c r="F29" s="34"/>
      <c r="G29" s="34"/>
    </row>
    <row r="30" spans="1:8" x14ac:dyDescent="0.25">
      <c r="A30" s="2" t="s">
        <v>29</v>
      </c>
      <c r="B30" s="9">
        <v>53000</v>
      </c>
      <c r="C30" s="8">
        <f>KRH!C30+'GDI PLANT'!C30</f>
        <v>18.013000000000002</v>
      </c>
      <c r="D30" s="11">
        <f t="shared" si="0"/>
        <v>954689.00000000012</v>
      </c>
      <c r="E30" s="63"/>
      <c r="F30" s="34"/>
      <c r="G30" s="34"/>
    </row>
    <row r="31" spans="1:8" x14ac:dyDescent="0.25">
      <c r="A31" s="2" t="s">
        <v>55</v>
      </c>
      <c r="B31" s="8"/>
      <c r="C31" s="8">
        <f>KRH!C31+'GDI PLANT'!C31</f>
        <v>0</v>
      </c>
      <c r="D31" s="8">
        <f t="shared" si="0"/>
        <v>0</v>
      </c>
      <c r="E31" s="63"/>
      <c r="F31" s="34"/>
      <c r="G31" s="34"/>
    </row>
    <row r="32" spans="1:8" ht="20.25" customHeight="1" thickBot="1" x14ac:dyDescent="0.3">
      <c r="A32" s="3" t="s">
        <v>30</v>
      </c>
      <c r="B32" s="8"/>
      <c r="C32" s="8"/>
      <c r="D32" s="14">
        <f>SUM(D25:D31)</f>
        <v>35721464.2667</v>
      </c>
      <c r="E32" s="64"/>
      <c r="F32" s="34"/>
      <c r="G32" s="34"/>
    </row>
    <row r="33" spans="1:7" ht="37.5" hidden="1" customHeight="1" x14ac:dyDescent="0.25">
      <c r="A33" s="65"/>
      <c r="B33" s="65"/>
      <c r="C33" s="65"/>
      <c r="D33" s="65"/>
      <c r="E33" s="65"/>
      <c r="F33" s="65"/>
      <c r="G33" s="65"/>
    </row>
    <row r="34" spans="1:7" ht="45" hidden="1" customHeight="1" x14ac:dyDescent="0.25">
      <c r="A34" s="66" t="s">
        <v>42</v>
      </c>
      <c r="B34" s="67"/>
      <c r="C34" s="67"/>
      <c r="D34" s="67"/>
      <c r="E34" s="67"/>
      <c r="F34" s="67"/>
      <c r="G34" s="68"/>
    </row>
    <row r="35" spans="1:7" ht="45" hidden="1" customHeight="1" x14ac:dyDescent="0.25">
      <c r="A35" s="69" t="s">
        <v>8</v>
      </c>
      <c r="B35" s="70"/>
      <c r="C35" s="6" t="s">
        <v>9</v>
      </c>
      <c r="D35" s="6" t="s">
        <v>10</v>
      </c>
      <c r="E35" s="6" t="s">
        <v>83</v>
      </c>
      <c r="F35" s="71" t="s">
        <v>86</v>
      </c>
      <c r="G35" s="72"/>
    </row>
    <row r="36" spans="1:7" ht="22.5" hidden="1" customHeight="1" x14ac:dyDescent="0.25">
      <c r="A36" s="73" t="s">
        <v>56</v>
      </c>
      <c r="B36" s="74"/>
      <c r="C36" s="8">
        <f>KRH!C36+'GDI PLANT'!C36</f>
        <v>1</v>
      </c>
      <c r="D36" s="8">
        <f>KRH!D36+'GDI PLANT'!D36</f>
        <v>34000</v>
      </c>
      <c r="E36" s="8" t="s">
        <v>65</v>
      </c>
      <c r="F36" s="75">
        <f>D43/C17</f>
        <v>134.6469212782541</v>
      </c>
      <c r="G36" s="76"/>
    </row>
    <row r="37" spans="1:7" ht="30" hidden="1" x14ac:dyDescent="0.25">
      <c r="A37" s="73" t="s">
        <v>57</v>
      </c>
      <c r="B37" s="74"/>
      <c r="C37" s="8">
        <f>KRH!C37+'GDI PLANT'!C37</f>
        <v>5</v>
      </c>
      <c r="D37" s="8">
        <f>KRH!D37+'GDI PLANT'!D37</f>
        <v>226000</v>
      </c>
      <c r="E37" s="8" t="s">
        <v>62</v>
      </c>
      <c r="F37" s="75"/>
      <c r="G37" s="76"/>
    </row>
    <row r="38" spans="1:7" hidden="1" x14ac:dyDescent="0.25">
      <c r="A38" s="73" t="s">
        <v>11</v>
      </c>
      <c r="B38" s="74"/>
      <c r="C38" s="8">
        <f>KRH!C38+'GDI PLANT'!C38</f>
        <v>3</v>
      </c>
      <c r="D38" s="8">
        <f>KRH!D38+'GDI PLANT'!D38</f>
        <v>104000</v>
      </c>
      <c r="E38" s="8" t="s">
        <v>68</v>
      </c>
      <c r="F38" s="75"/>
      <c r="G38" s="76"/>
    </row>
    <row r="39" spans="1:7" hidden="1" x14ac:dyDescent="0.25">
      <c r="A39" s="73" t="s">
        <v>59</v>
      </c>
      <c r="B39" s="74"/>
      <c r="C39" s="8">
        <f>KRH!C39+'GDI PLANT'!C39</f>
        <v>4</v>
      </c>
      <c r="D39" s="8">
        <f>KRH!D39+'GDI PLANT'!D39</f>
        <v>226000</v>
      </c>
      <c r="E39" s="8" t="s">
        <v>64</v>
      </c>
      <c r="F39" s="75"/>
      <c r="G39" s="76"/>
    </row>
    <row r="40" spans="1:7" ht="30" hidden="1" x14ac:dyDescent="0.25">
      <c r="A40" s="73" t="s">
        <v>58</v>
      </c>
      <c r="B40" s="74"/>
      <c r="C40" s="8"/>
      <c r="D40" s="8">
        <f>KRH!D40+'GDI PLANT'!D40</f>
        <v>446512</v>
      </c>
      <c r="E40" s="8" t="s">
        <v>84</v>
      </c>
      <c r="F40" s="75"/>
      <c r="G40" s="76"/>
    </row>
    <row r="41" spans="1:7" hidden="1" x14ac:dyDescent="0.25">
      <c r="A41" s="73" t="s">
        <v>60</v>
      </c>
      <c r="B41" s="74"/>
      <c r="C41" s="8">
        <f>KRH!C41+'GDI PLANT'!C41</f>
        <v>0</v>
      </c>
      <c r="D41" s="8"/>
      <c r="E41" s="8" t="s">
        <v>66</v>
      </c>
      <c r="F41" s="75"/>
      <c r="G41" s="76"/>
    </row>
    <row r="42" spans="1:7" hidden="1" x14ac:dyDescent="0.25">
      <c r="A42" s="73" t="s">
        <v>12</v>
      </c>
      <c r="B42" s="74"/>
      <c r="C42" s="8">
        <f>KRH!C42+'GDI PLANT'!C42</f>
        <v>0</v>
      </c>
      <c r="D42" s="8"/>
      <c r="E42" s="8" t="s">
        <v>85</v>
      </c>
      <c r="F42" s="75"/>
      <c r="G42" s="76"/>
    </row>
    <row r="43" spans="1:7" ht="21.75" hidden="1" customHeight="1" x14ac:dyDescent="0.25">
      <c r="A43" s="79" t="s">
        <v>13</v>
      </c>
      <c r="B43" s="80"/>
      <c r="C43" s="8"/>
      <c r="D43" s="20">
        <f>SUM(D36:D42)</f>
        <v>1036512</v>
      </c>
      <c r="E43" s="8"/>
      <c r="F43" s="77"/>
      <c r="G43" s="78"/>
    </row>
    <row r="44" spans="1:7" ht="32.25" hidden="1" customHeight="1" x14ac:dyDescent="0.25">
      <c r="A44" s="60"/>
      <c r="B44" s="60"/>
      <c r="C44" s="60"/>
      <c r="D44" s="60"/>
      <c r="E44" s="60"/>
      <c r="F44" s="60"/>
      <c r="G44" s="60"/>
    </row>
    <row r="45" spans="1:7" ht="43.5" hidden="1" customHeight="1" x14ac:dyDescent="0.25">
      <c r="A45" s="66" t="s">
        <v>22</v>
      </c>
      <c r="B45" s="67"/>
      <c r="C45" s="67"/>
      <c r="D45" s="67"/>
      <c r="E45" s="67"/>
      <c r="F45" s="67"/>
      <c r="G45" s="68"/>
    </row>
    <row r="46" spans="1:7" ht="45" hidden="1" x14ac:dyDescent="0.25">
      <c r="A46" s="6" t="s">
        <v>19</v>
      </c>
      <c r="B46" s="6" t="s">
        <v>23</v>
      </c>
      <c r="C46" s="6" t="s">
        <v>24</v>
      </c>
      <c r="D46" s="6" t="s">
        <v>10</v>
      </c>
      <c r="E46" s="69" t="s">
        <v>87</v>
      </c>
      <c r="F46" s="70"/>
      <c r="G46" s="17" t="s">
        <v>2</v>
      </c>
    </row>
    <row r="47" spans="1:7" ht="30" hidden="1" x14ac:dyDescent="0.25">
      <c r="A47" s="2" t="s">
        <v>88</v>
      </c>
      <c r="B47" s="5"/>
      <c r="C47" s="5"/>
      <c r="D47" s="20">
        <f>KRH!D47+'GDI PLANT'!D47</f>
        <v>183534</v>
      </c>
      <c r="E47" s="81">
        <f>D47/C17</f>
        <v>23.841777084957133</v>
      </c>
      <c r="F47" s="82"/>
      <c r="G47" s="4"/>
    </row>
    <row r="48" spans="1:7" ht="42" hidden="1" customHeight="1" x14ac:dyDescent="0.25">
      <c r="A48" s="65"/>
      <c r="B48" s="65"/>
      <c r="C48" s="65"/>
      <c r="D48" s="65"/>
      <c r="E48" s="65"/>
      <c r="F48" s="65"/>
      <c r="G48" s="65"/>
    </row>
    <row r="49" spans="1:7" ht="49.5" hidden="1" customHeight="1" x14ac:dyDescent="0.25">
      <c r="A49" s="66" t="s">
        <v>89</v>
      </c>
      <c r="B49" s="67"/>
      <c r="C49" s="67"/>
      <c r="D49" s="67"/>
      <c r="E49" s="67"/>
      <c r="F49" s="67"/>
      <c r="G49" s="68"/>
    </row>
    <row r="50" spans="1:7" ht="27.75" hidden="1" customHeight="1" x14ac:dyDescent="0.25">
      <c r="A50" s="69" t="s">
        <v>19</v>
      </c>
      <c r="B50" s="83"/>
      <c r="C50" s="70"/>
      <c r="D50" s="21" t="s">
        <v>10</v>
      </c>
      <c r="E50" s="22" t="s">
        <v>90</v>
      </c>
      <c r="F50" s="71" t="s">
        <v>2</v>
      </c>
      <c r="G50" s="72"/>
    </row>
    <row r="51" spans="1:7" ht="27.75" hidden="1" customHeight="1" x14ac:dyDescent="0.25">
      <c r="A51" s="73" t="s">
        <v>96</v>
      </c>
      <c r="B51" s="84"/>
      <c r="C51" s="74"/>
      <c r="D51" s="5">
        <f>KRH!D51+'GDI PLANT'!D51</f>
        <v>5510</v>
      </c>
      <c r="E51" s="85">
        <f>D54/C17</f>
        <v>1.1054819433619121</v>
      </c>
      <c r="F51" s="34"/>
      <c r="G51" s="34"/>
    </row>
    <row r="52" spans="1:7" ht="27.75" hidden="1" customHeight="1" x14ac:dyDescent="0.25">
      <c r="A52" s="73" t="s">
        <v>91</v>
      </c>
      <c r="B52" s="84"/>
      <c r="C52" s="74"/>
      <c r="D52" s="4">
        <v>0</v>
      </c>
      <c r="E52" s="86"/>
      <c r="F52" s="34" t="s">
        <v>67</v>
      </c>
      <c r="G52" s="34"/>
    </row>
    <row r="53" spans="1:7" ht="27.75" hidden="1" customHeight="1" x14ac:dyDescent="0.25">
      <c r="A53" s="73" t="s">
        <v>61</v>
      </c>
      <c r="B53" s="84"/>
      <c r="C53" s="74"/>
      <c r="D53" s="4">
        <f>KRH!D53+'GDI PLANT'!D53</f>
        <v>3000</v>
      </c>
      <c r="E53" s="86"/>
      <c r="F53" s="34" t="s">
        <v>92</v>
      </c>
      <c r="G53" s="34"/>
    </row>
    <row r="54" spans="1:7" ht="27.75" hidden="1" customHeight="1" x14ac:dyDescent="0.25">
      <c r="A54" s="79" t="s">
        <v>31</v>
      </c>
      <c r="B54" s="88"/>
      <c r="C54" s="80"/>
      <c r="D54" s="23">
        <f>SUM(D51:D53)</f>
        <v>8510</v>
      </c>
      <c r="E54" s="87"/>
      <c r="F54" s="34"/>
      <c r="G54" s="34"/>
    </row>
    <row r="55" spans="1:7" ht="43.5" hidden="1" customHeight="1" thickBot="1" x14ac:dyDescent="0.3">
      <c r="A55" s="65"/>
      <c r="B55" s="65"/>
      <c r="C55" s="65"/>
      <c r="D55" s="65"/>
      <c r="E55" s="65"/>
      <c r="F55" s="65"/>
      <c r="G55" s="65"/>
    </row>
    <row r="56" spans="1:7" ht="46.5" customHeight="1" x14ac:dyDescent="0.25">
      <c r="A56" s="97" t="s">
        <v>93</v>
      </c>
      <c r="B56" s="98"/>
      <c r="C56" s="98"/>
      <c r="D56" s="98"/>
      <c r="E56" s="98"/>
      <c r="F56" s="98"/>
      <c r="G56" s="99"/>
    </row>
    <row r="57" spans="1:7" ht="36" customHeight="1" x14ac:dyDescent="0.25">
      <c r="A57" s="100" t="s">
        <v>32</v>
      </c>
      <c r="B57" s="101"/>
      <c r="C57" s="24" t="s">
        <v>1</v>
      </c>
      <c r="D57" s="24" t="s">
        <v>33</v>
      </c>
      <c r="E57" s="25" t="s">
        <v>94</v>
      </c>
      <c r="F57" s="101" t="s">
        <v>2</v>
      </c>
      <c r="G57" s="102"/>
    </row>
    <row r="58" spans="1:7" ht="32.25" customHeight="1" x14ac:dyDescent="0.25">
      <c r="A58" s="89" t="s">
        <v>4</v>
      </c>
      <c r="B58" s="90"/>
      <c r="C58" s="28">
        <f>D13</f>
        <v>2901091.3</v>
      </c>
      <c r="D58" s="27">
        <f>C58/C64%</f>
        <v>7.0282594251986543</v>
      </c>
      <c r="E58" s="91">
        <f>C64/C17</f>
        <v>5362.1098423876329</v>
      </c>
      <c r="F58" s="93"/>
      <c r="G58" s="94"/>
    </row>
    <row r="59" spans="1:7" ht="32.25" customHeight="1" x14ac:dyDescent="0.25">
      <c r="A59" s="89" t="s">
        <v>5</v>
      </c>
      <c r="B59" s="90"/>
      <c r="C59" s="26">
        <f>F17</f>
        <v>1426410</v>
      </c>
      <c r="D59" s="27">
        <f>C59/C64%</f>
        <v>3.4556580576066711</v>
      </c>
      <c r="E59" s="91"/>
      <c r="F59" s="93"/>
      <c r="G59" s="94"/>
    </row>
    <row r="60" spans="1:7" ht="32.25" customHeight="1" x14ac:dyDescent="0.25">
      <c r="A60" s="89" t="s">
        <v>38</v>
      </c>
      <c r="B60" s="90"/>
      <c r="C60" s="28">
        <f>D32</f>
        <v>35721464.2667</v>
      </c>
      <c r="D60" s="27">
        <f>C60/C64%</f>
        <v>86.53975071874892</v>
      </c>
      <c r="E60" s="91"/>
      <c r="F60" s="93"/>
      <c r="G60" s="94"/>
    </row>
    <row r="61" spans="1:7" ht="32.25" customHeight="1" x14ac:dyDescent="0.25">
      <c r="A61" s="89" t="s">
        <v>3</v>
      </c>
      <c r="B61" s="90"/>
      <c r="C61" s="26">
        <f>D43</f>
        <v>1036512</v>
      </c>
      <c r="D61" s="27">
        <f>C61/C64%</f>
        <v>2.5110809967723209</v>
      </c>
      <c r="E61" s="91"/>
      <c r="F61" s="93"/>
      <c r="G61" s="94"/>
    </row>
    <row r="62" spans="1:7" ht="32.25" customHeight="1" x14ac:dyDescent="0.25">
      <c r="A62" s="89" t="s">
        <v>6</v>
      </c>
      <c r="B62" s="90"/>
      <c r="C62" s="26">
        <f>D47</f>
        <v>183534</v>
      </c>
      <c r="D62" s="27">
        <f>C62/C64%</f>
        <v>0.44463425378732818</v>
      </c>
      <c r="E62" s="91"/>
      <c r="F62" s="93"/>
      <c r="G62" s="94"/>
    </row>
    <row r="63" spans="1:7" ht="32.25" customHeight="1" x14ac:dyDescent="0.25">
      <c r="A63" s="89" t="s">
        <v>95</v>
      </c>
      <c r="B63" s="90"/>
      <c r="C63" s="26">
        <f>D54</f>
        <v>8510</v>
      </c>
      <c r="D63" s="27">
        <f>C63/C64%</f>
        <v>2.0616547886114632E-2</v>
      </c>
      <c r="E63" s="91"/>
      <c r="F63" s="107"/>
      <c r="G63" s="108"/>
    </row>
    <row r="64" spans="1:7" ht="32.25" customHeight="1" x14ac:dyDescent="0.25">
      <c r="A64" s="109" t="s">
        <v>7</v>
      </c>
      <c r="B64" s="110"/>
      <c r="C64" s="111">
        <f>SUM(C58:C63)</f>
        <v>41277521.566699997</v>
      </c>
      <c r="D64" s="112"/>
      <c r="E64" s="92"/>
      <c r="F64" s="95"/>
      <c r="G64" s="96"/>
    </row>
    <row r="65" spans="1:7" ht="45" customHeight="1" thickBot="1" x14ac:dyDescent="0.3">
      <c r="A65" s="103" t="s">
        <v>97</v>
      </c>
      <c r="B65" s="104"/>
      <c r="C65" s="105"/>
      <c r="D65" s="105"/>
      <c r="E65" s="105"/>
      <c r="F65" s="105"/>
      <c r="G65" s="106"/>
    </row>
  </sheetData>
  <mergeCells count="86">
    <mergeCell ref="A55:G55"/>
    <mergeCell ref="A56:G56"/>
    <mergeCell ref="A57:B57"/>
    <mergeCell ref="F57:G57"/>
    <mergeCell ref="A65:B65"/>
    <mergeCell ref="C65:G65"/>
    <mergeCell ref="A60:B60"/>
    <mergeCell ref="F60:G60"/>
    <mergeCell ref="A61:B61"/>
    <mergeCell ref="F61:G61"/>
    <mergeCell ref="A62:B62"/>
    <mergeCell ref="F62:G62"/>
    <mergeCell ref="A63:B63"/>
    <mergeCell ref="F63:G63"/>
    <mergeCell ref="A64:B64"/>
    <mergeCell ref="C64:D64"/>
    <mergeCell ref="A58:B58"/>
    <mergeCell ref="E58:E64"/>
    <mergeCell ref="F58:G58"/>
    <mergeCell ref="A59:B59"/>
    <mergeCell ref="F59:G59"/>
    <mergeCell ref="F64:G64"/>
    <mergeCell ref="A51:C51"/>
    <mergeCell ref="E51:E54"/>
    <mergeCell ref="F51:G51"/>
    <mergeCell ref="A52:C52"/>
    <mergeCell ref="F52:G52"/>
    <mergeCell ref="A53:C53"/>
    <mergeCell ref="F53:G53"/>
    <mergeCell ref="A54:C54"/>
    <mergeCell ref="F54:G54"/>
    <mergeCell ref="E46:F46"/>
    <mergeCell ref="E47:F47"/>
    <mergeCell ref="A48:G48"/>
    <mergeCell ref="A50:C50"/>
    <mergeCell ref="F50:G50"/>
    <mergeCell ref="A33:G33"/>
    <mergeCell ref="A34:G34"/>
    <mergeCell ref="A35:B35"/>
    <mergeCell ref="F35:G35"/>
    <mergeCell ref="A49:G49"/>
    <mergeCell ref="A36:B36"/>
    <mergeCell ref="F36:G43"/>
    <mergeCell ref="A37:B37"/>
    <mergeCell ref="A38:B38"/>
    <mergeCell ref="A39:B39"/>
    <mergeCell ref="A40:B40"/>
    <mergeCell ref="A41:B41"/>
    <mergeCell ref="A42:B42"/>
    <mergeCell ref="A43:B43"/>
    <mergeCell ref="A44:G44"/>
    <mergeCell ref="A45:G45"/>
    <mergeCell ref="A22:G22"/>
    <mergeCell ref="A23:G23"/>
    <mergeCell ref="F24:G24"/>
    <mergeCell ref="E25:E32"/>
    <mergeCell ref="F25:G25"/>
    <mergeCell ref="F26:G26"/>
    <mergeCell ref="F27:G27"/>
    <mergeCell ref="F28:G28"/>
    <mergeCell ref="F29:G29"/>
    <mergeCell ref="F30:G30"/>
    <mergeCell ref="F31:G31"/>
    <mergeCell ref="F32:G32"/>
    <mergeCell ref="E11:G11"/>
    <mergeCell ref="E12:G12"/>
    <mergeCell ref="E13:G13"/>
    <mergeCell ref="A14:G14"/>
    <mergeCell ref="A15:G15"/>
    <mergeCell ref="C17:C21"/>
    <mergeCell ref="D17:D21"/>
    <mergeCell ref="E17:E21"/>
    <mergeCell ref="F17:F21"/>
    <mergeCell ref="G17:G21"/>
    <mergeCell ref="E10:G10"/>
    <mergeCell ref="A1:G1"/>
    <mergeCell ref="A2:C2"/>
    <mergeCell ref="D2:G2"/>
    <mergeCell ref="A3:C3"/>
    <mergeCell ref="D3:G3"/>
    <mergeCell ref="A4:G4"/>
    <mergeCell ref="A5:G5"/>
    <mergeCell ref="E6:G6"/>
    <mergeCell ref="E7:G7"/>
    <mergeCell ref="E8:G8"/>
    <mergeCell ref="E9:G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opLeftCell="A33" zoomScale="90" zoomScaleNormal="90" workbookViewId="0">
      <selection activeCell="H63" sqref="H63"/>
    </sheetView>
  </sheetViews>
  <sheetFormatPr defaultRowHeight="15" x14ac:dyDescent="0.25"/>
  <cols>
    <col min="1" max="1" width="44.28515625" style="1" customWidth="1"/>
    <col min="2" max="2" width="12.140625" customWidth="1"/>
    <col min="3" max="3" width="15.28515625" customWidth="1"/>
    <col min="4" max="4" width="17.140625" customWidth="1"/>
    <col min="5" max="5" width="34.5703125" customWidth="1"/>
    <col min="6" max="6" width="12.42578125" customWidth="1"/>
    <col min="7" max="7" width="13.42578125" customWidth="1"/>
  </cols>
  <sheetData>
    <row r="1" spans="1:7" ht="63" customHeight="1" x14ac:dyDescent="0.25">
      <c r="A1" s="35" t="s">
        <v>0</v>
      </c>
      <c r="B1" s="36"/>
      <c r="C1" s="36"/>
      <c r="D1" s="36"/>
      <c r="E1" s="36"/>
      <c r="F1" s="36"/>
      <c r="G1" s="37"/>
    </row>
    <row r="2" spans="1:7" ht="34.5" customHeight="1" thickBot="1" x14ac:dyDescent="0.3">
      <c r="A2" s="38" t="s">
        <v>34</v>
      </c>
      <c r="B2" s="39"/>
      <c r="C2" s="39"/>
      <c r="D2" s="39" t="s">
        <v>35</v>
      </c>
      <c r="E2" s="39"/>
      <c r="F2" s="39"/>
      <c r="G2" s="40"/>
    </row>
    <row r="3" spans="1:7" ht="38.25" customHeight="1" thickBot="1" x14ac:dyDescent="0.3">
      <c r="A3" s="41" t="s">
        <v>37</v>
      </c>
      <c r="B3" s="42"/>
      <c r="C3" s="42"/>
      <c r="D3" s="42" t="s">
        <v>36</v>
      </c>
      <c r="E3" s="42"/>
      <c r="F3" s="42"/>
      <c r="G3" s="43"/>
    </row>
    <row r="4" spans="1:7" s="10" customFormat="1" ht="23.25" customHeight="1" x14ac:dyDescent="0.25">
      <c r="A4" s="44"/>
      <c r="B4" s="44"/>
      <c r="C4" s="44"/>
      <c r="D4" s="44"/>
      <c r="E4" s="44"/>
      <c r="F4" s="44"/>
      <c r="G4" s="44"/>
    </row>
    <row r="5" spans="1:7" ht="39" customHeight="1" x14ac:dyDescent="0.25">
      <c r="A5" s="45" t="s">
        <v>39</v>
      </c>
      <c r="B5" s="46"/>
      <c r="C5" s="46"/>
      <c r="D5" s="46"/>
      <c r="E5" s="46"/>
      <c r="F5" s="46"/>
      <c r="G5" s="47"/>
    </row>
    <row r="6" spans="1:7" ht="18.75" customHeight="1" x14ac:dyDescent="0.25">
      <c r="A6" s="15" t="s">
        <v>14</v>
      </c>
      <c r="B6" s="15" t="s">
        <v>15</v>
      </c>
      <c r="C6" s="16" t="s">
        <v>16</v>
      </c>
      <c r="D6" s="16" t="s">
        <v>10</v>
      </c>
      <c r="E6" s="48" t="s">
        <v>2</v>
      </c>
      <c r="F6" s="48"/>
      <c r="G6" s="48"/>
    </row>
    <row r="7" spans="1:7" x14ac:dyDescent="0.25">
      <c r="A7" s="2" t="s">
        <v>17</v>
      </c>
      <c r="B7" s="8">
        <v>1</v>
      </c>
      <c r="C7" s="8"/>
      <c r="D7" s="8">
        <v>0</v>
      </c>
      <c r="E7" s="34" t="s">
        <v>70</v>
      </c>
      <c r="F7" s="34"/>
      <c r="G7" s="34"/>
    </row>
    <row r="8" spans="1:7" ht="60" customHeight="1" x14ac:dyDescent="0.25">
      <c r="A8" s="2" t="s">
        <v>50</v>
      </c>
      <c r="B8" s="8">
        <v>14</v>
      </c>
      <c r="C8" s="11">
        <f>D8/B8</f>
        <v>139705.95000000001</v>
      </c>
      <c r="D8" s="12">
        <f>(256935)+(0.18*256935)+(125000*5)+(0.18*125000)+(140000*7)+(0.18*140000)</f>
        <v>1955883.3</v>
      </c>
      <c r="E8" s="34" t="s">
        <v>75</v>
      </c>
      <c r="F8" s="34"/>
      <c r="G8" s="34"/>
    </row>
    <row r="9" spans="1:7" x14ac:dyDescent="0.25">
      <c r="A9" s="2" t="s">
        <v>52</v>
      </c>
      <c r="B9" s="8">
        <v>0</v>
      </c>
      <c r="C9" s="8"/>
      <c r="D9" s="8">
        <v>0</v>
      </c>
      <c r="E9" s="34" t="s">
        <v>71</v>
      </c>
      <c r="F9" s="34"/>
      <c r="G9" s="34"/>
    </row>
    <row r="10" spans="1:7" x14ac:dyDescent="0.25">
      <c r="A10" s="2" t="s">
        <v>51</v>
      </c>
      <c r="B10" s="8">
        <v>1</v>
      </c>
      <c r="C10" s="8">
        <f>130000+(0.18*130000)</f>
        <v>153400</v>
      </c>
      <c r="D10" s="8">
        <f>B10*C10</f>
        <v>153400</v>
      </c>
      <c r="E10" s="34" t="s">
        <v>74</v>
      </c>
      <c r="F10" s="34"/>
      <c r="G10" s="34"/>
    </row>
    <row r="11" spans="1:7" x14ac:dyDescent="0.25">
      <c r="A11" s="2" t="s">
        <v>53</v>
      </c>
      <c r="B11" s="8">
        <v>0</v>
      </c>
      <c r="C11" s="8"/>
      <c r="D11" s="8">
        <v>0</v>
      </c>
      <c r="E11" s="34" t="s">
        <v>72</v>
      </c>
      <c r="F11" s="34"/>
      <c r="G11" s="34"/>
    </row>
    <row r="12" spans="1:7" ht="30" customHeight="1" x14ac:dyDescent="0.25">
      <c r="A12" s="2" t="s">
        <v>54</v>
      </c>
      <c r="B12" s="8"/>
      <c r="C12" s="8"/>
      <c r="D12" s="8">
        <f>636048-185000</f>
        <v>451048</v>
      </c>
      <c r="E12" s="34" t="s">
        <v>73</v>
      </c>
      <c r="F12" s="34"/>
      <c r="G12" s="34"/>
    </row>
    <row r="13" spans="1:7" ht="22.5" customHeight="1" x14ac:dyDescent="0.25">
      <c r="A13" s="3" t="s">
        <v>18</v>
      </c>
      <c r="B13" s="2"/>
      <c r="C13" s="5"/>
      <c r="D13" s="14">
        <f>SUM(D7:D12)</f>
        <v>2560331.2999999998</v>
      </c>
      <c r="E13" s="55"/>
      <c r="F13" s="56"/>
      <c r="G13" s="57"/>
    </row>
    <row r="14" spans="1:7" ht="34.5" customHeight="1" x14ac:dyDescent="0.25">
      <c r="A14" s="58"/>
      <c r="B14" s="58"/>
      <c r="C14" s="58"/>
      <c r="D14" s="58"/>
      <c r="E14" s="58"/>
      <c r="F14" s="58"/>
      <c r="G14" s="58"/>
    </row>
    <row r="15" spans="1:7" ht="46.5" customHeight="1" x14ac:dyDescent="0.25">
      <c r="A15" s="59" t="s">
        <v>40</v>
      </c>
      <c r="B15" s="59"/>
      <c r="C15" s="59"/>
      <c r="D15" s="59"/>
      <c r="E15" s="59"/>
      <c r="F15" s="59"/>
      <c r="G15" s="59"/>
    </row>
    <row r="16" spans="1:7" ht="60" x14ac:dyDescent="0.25">
      <c r="A16" s="6" t="s">
        <v>19</v>
      </c>
      <c r="B16" s="6" t="s">
        <v>20</v>
      </c>
      <c r="C16" s="6" t="s">
        <v>47</v>
      </c>
      <c r="D16" s="6" t="s">
        <v>48</v>
      </c>
      <c r="E16" s="6" t="s">
        <v>49</v>
      </c>
      <c r="F16" s="7" t="s">
        <v>10</v>
      </c>
      <c r="G16" s="6" t="s">
        <v>76</v>
      </c>
    </row>
    <row r="17" spans="1:8" ht="30" x14ac:dyDescent="0.25">
      <c r="A17" s="2" t="s">
        <v>77</v>
      </c>
      <c r="B17" s="5">
        <f>13640+20</f>
        <v>13660</v>
      </c>
      <c r="C17" s="34">
        <v>5926</v>
      </c>
      <c r="D17" s="49">
        <f>B21/C17</f>
        <v>2.5143435707053663</v>
      </c>
      <c r="E17" s="34">
        <v>88.05</v>
      </c>
      <c r="F17" s="51">
        <f>E17*B21</f>
        <v>1311945</v>
      </c>
      <c r="G17" s="113">
        <f>F17/C17</f>
        <v>221.38795140060751</v>
      </c>
      <c r="H17" s="13"/>
    </row>
    <row r="18" spans="1:8" x14ac:dyDescent="0.25">
      <c r="A18" s="2" t="s">
        <v>44</v>
      </c>
      <c r="B18" s="5">
        <v>0</v>
      </c>
      <c r="C18" s="34"/>
      <c r="D18" s="49"/>
      <c r="E18" s="34"/>
      <c r="F18" s="51"/>
      <c r="G18" s="114"/>
    </row>
    <row r="19" spans="1:8" x14ac:dyDescent="0.25">
      <c r="A19" s="2" t="s">
        <v>45</v>
      </c>
      <c r="B19" s="5">
        <v>1220</v>
      </c>
      <c r="C19" s="34"/>
      <c r="D19" s="49"/>
      <c r="E19" s="34"/>
      <c r="F19" s="51"/>
      <c r="G19" s="114"/>
    </row>
    <row r="20" spans="1:8" x14ac:dyDescent="0.25">
      <c r="A20" s="2" t="s">
        <v>46</v>
      </c>
      <c r="B20" s="5">
        <v>20</v>
      </c>
      <c r="C20" s="34"/>
      <c r="D20" s="49"/>
      <c r="E20" s="34"/>
      <c r="F20" s="51"/>
      <c r="G20" s="114"/>
    </row>
    <row r="21" spans="1:8" ht="19.5" customHeight="1" x14ac:dyDescent="0.25">
      <c r="A21" s="3" t="s">
        <v>21</v>
      </c>
      <c r="B21" s="7">
        <f>SUM(B17:B20)</f>
        <v>14900</v>
      </c>
      <c r="C21" s="34"/>
      <c r="D21" s="49"/>
      <c r="E21" s="34"/>
      <c r="F21" s="51"/>
      <c r="G21" s="115"/>
    </row>
    <row r="22" spans="1:8" ht="33.75" customHeight="1" x14ac:dyDescent="0.25">
      <c r="A22" s="60"/>
      <c r="B22" s="60"/>
      <c r="C22" s="60"/>
      <c r="D22" s="60"/>
      <c r="E22" s="60"/>
      <c r="F22" s="60"/>
      <c r="G22" s="60"/>
    </row>
    <row r="23" spans="1:8" ht="38.25" customHeight="1" x14ac:dyDescent="0.25">
      <c r="A23" s="45" t="s">
        <v>41</v>
      </c>
      <c r="B23" s="46"/>
      <c r="C23" s="46"/>
      <c r="D23" s="46"/>
      <c r="E23" s="46"/>
      <c r="F23" s="46"/>
      <c r="G23" s="47"/>
    </row>
    <row r="24" spans="1:8" ht="45" x14ac:dyDescent="0.25">
      <c r="A24" s="15" t="s">
        <v>25</v>
      </c>
      <c r="B24" s="15" t="s">
        <v>78</v>
      </c>
      <c r="C24" s="15" t="s">
        <v>81</v>
      </c>
      <c r="D24" s="15" t="s">
        <v>10</v>
      </c>
      <c r="E24" s="18" t="s">
        <v>82</v>
      </c>
      <c r="F24" s="61" t="s">
        <v>2</v>
      </c>
      <c r="G24" s="62"/>
    </row>
    <row r="25" spans="1:8" x14ac:dyDescent="0.25">
      <c r="A25" s="2" t="s">
        <v>26</v>
      </c>
      <c r="B25" s="11">
        <v>6619.99</v>
      </c>
      <c r="C25" s="8">
        <v>1593.7</v>
      </c>
      <c r="D25" s="11">
        <f>B25*C25</f>
        <v>10550278.062999999</v>
      </c>
      <c r="E25" s="116">
        <f>D32/C17</f>
        <v>4587.1850511306102</v>
      </c>
      <c r="F25" s="34"/>
      <c r="G25" s="34"/>
    </row>
    <row r="26" spans="1:8" x14ac:dyDescent="0.25">
      <c r="A26" s="2" t="s">
        <v>79</v>
      </c>
      <c r="B26" s="9">
        <f>1280+5%*1280</f>
        <v>1344</v>
      </c>
      <c r="C26" s="8">
        <f>3434</f>
        <v>3434</v>
      </c>
      <c r="D26" s="11">
        <f t="shared" ref="D26:D31" si="0">B26*C26</f>
        <v>4615296</v>
      </c>
      <c r="E26" s="116"/>
      <c r="F26" s="34"/>
      <c r="G26" s="34"/>
    </row>
    <row r="27" spans="1:8" x14ac:dyDescent="0.25">
      <c r="A27" s="2" t="s">
        <v>80</v>
      </c>
      <c r="B27" s="9">
        <f>1245+5%*1245</f>
        <v>1307.25</v>
      </c>
      <c r="C27" s="8">
        <v>3336</v>
      </c>
      <c r="D27" s="11">
        <f t="shared" si="0"/>
        <v>4360986</v>
      </c>
      <c r="E27" s="116"/>
      <c r="F27" s="34"/>
      <c r="G27" s="34"/>
    </row>
    <row r="28" spans="1:8" x14ac:dyDescent="0.25">
      <c r="A28" s="2" t="s">
        <v>27</v>
      </c>
      <c r="B28" s="9">
        <f>1235+5%*1235</f>
        <v>1296.75</v>
      </c>
      <c r="C28" s="8">
        <v>5084</v>
      </c>
      <c r="D28" s="11">
        <f t="shared" si="0"/>
        <v>6592677</v>
      </c>
      <c r="E28" s="116"/>
      <c r="F28" s="34"/>
      <c r="G28" s="34"/>
    </row>
    <row r="29" spans="1:8" x14ac:dyDescent="0.25">
      <c r="A29" s="2" t="s">
        <v>28</v>
      </c>
      <c r="B29" s="9">
        <f>1275+5%*1275</f>
        <v>1338.75</v>
      </c>
      <c r="C29" s="8">
        <v>794.52</v>
      </c>
      <c r="D29" s="11">
        <f t="shared" si="0"/>
        <v>1063663.6499999999</v>
      </c>
      <c r="E29" s="116"/>
      <c r="F29" s="34"/>
      <c r="G29" s="34"/>
    </row>
    <row r="30" spans="1:8" x14ac:dyDescent="0.25">
      <c r="A30" s="2" t="s">
        <v>29</v>
      </c>
      <c r="B30" s="9">
        <v>53</v>
      </c>
      <c r="C30" s="8">
        <v>14.3</v>
      </c>
      <c r="D30" s="11">
        <f t="shared" si="0"/>
        <v>757.90000000000009</v>
      </c>
      <c r="E30" s="116"/>
      <c r="F30" s="34"/>
      <c r="G30" s="34"/>
    </row>
    <row r="31" spans="1:8" x14ac:dyDescent="0.25">
      <c r="A31" s="2" t="s">
        <v>55</v>
      </c>
      <c r="B31" s="8"/>
      <c r="C31" s="8">
        <v>0</v>
      </c>
      <c r="D31" s="8">
        <f t="shared" si="0"/>
        <v>0</v>
      </c>
      <c r="E31" s="116"/>
      <c r="F31" s="34"/>
      <c r="G31" s="34"/>
    </row>
    <row r="32" spans="1:8" ht="20.25" customHeight="1" x14ac:dyDescent="0.25">
      <c r="A32" s="3" t="s">
        <v>30</v>
      </c>
      <c r="B32" s="8"/>
      <c r="C32" s="8"/>
      <c r="D32" s="14">
        <f>SUM(D25:D31)</f>
        <v>27183658.612999998</v>
      </c>
      <c r="E32" s="117"/>
      <c r="F32" s="34"/>
      <c r="G32" s="34"/>
    </row>
    <row r="33" spans="1:8" ht="37.5" customHeight="1" x14ac:dyDescent="0.25">
      <c r="A33" s="65"/>
      <c r="B33" s="65"/>
      <c r="C33" s="65"/>
      <c r="D33" s="65"/>
      <c r="E33" s="65"/>
      <c r="F33" s="65"/>
      <c r="G33" s="65"/>
    </row>
    <row r="34" spans="1:8" ht="45" customHeight="1" x14ac:dyDescent="0.25">
      <c r="A34" s="66" t="s">
        <v>42</v>
      </c>
      <c r="B34" s="67"/>
      <c r="C34" s="67"/>
      <c r="D34" s="67"/>
      <c r="E34" s="67"/>
      <c r="F34" s="67"/>
      <c r="G34" s="68"/>
    </row>
    <row r="35" spans="1:8" ht="45" customHeight="1" x14ac:dyDescent="0.25">
      <c r="A35" s="69" t="s">
        <v>8</v>
      </c>
      <c r="B35" s="70"/>
      <c r="C35" s="6" t="s">
        <v>9</v>
      </c>
      <c r="D35" s="6" t="s">
        <v>10</v>
      </c>
      <c r="E35" s="6" t="s">
        <v>83</v>
      </c>
      <c r="F35" s="71" t="s">
        <v>86</v>
      </c>
      <c r="G35" s="72"/>
    </row>
    <row r="36" spans="1:8" ht="22.5" customHeight="1" x14ac:dyDescent="0.25">
      <c r="A36" s="73" t="s">
        <v>56</v>
      </c>
      <c r="B36" s="74"/>
      <c r="C36" s="8">
        <v>1</v>
      </c>
      <c r="D36" s="8">
        <f>34000</f>
        <v>34000</v>
      </c>
      <c r="E36" s="8" t="s">
        <v>106</v>
      </c>
      <c r="F36" s="118">
        <f>D43/C17</f>
        <v>168.1592980087749</v>
      </c>
      <c r="G36" s="119"/>
    </row>
    <row r="37" spans="1:8" ht="30" x14ac:dyDescent="0.25">
      <c r="A37" s="73" t="s">
        <v>57</v>
      </c>
      <c r="B37" s="74"/>
      <c r="C37" s="8">
        <v>5</v>
      </c>
      <c r="D37" s="8">
        <f>90000+53000+28000+33000+22000</f>
        <v>226000</v>
      </c>
      <c r="E37" s="8" t="s">
        <v>62</v>
      </c>
      <c r="F37" s="118"/>
      <c r="G37" s="119"/>
    </row>
    <row r="38" spans="1:8" x14ac:dyDescent="0.25">
      <c r="A38" s="73" t="s">
        <v>11</v>
      </c>
      <c r="B38" s="74"/>
      <c r="C38" s="8">
        <v>2</v>
      </c>
      <c r="D38" s="8">
        <f>32000+32000</f>
        <v>64000</v>
      </c>
      <c r="E38" s="8" t="s">
        <v>68</v>
      </c>
      <c r="F38" s="118"/>
      <c r="G38" s="119"/>
    </row>
    <row r="39" spans="1:8" x14ac:dyDescent="0.25">
      <c r="A39" s="73" t="s">
        <v>59</v>
      </c>
      <c r="B39" s="74"/>
      <c r="C39" s="8">
        <v>4</v>
      </c>
      <c r="D39" s="8">
        <f>134000+28000+32000+32000</f>
        <v>226000</v>
      </c>
      <c r="E39" s="8" t="s">
        <v>107</v>
      </c>
      <c r="F39" s="118"/>
      <c r="G39" s="119"/>
    </row>
    <row r="40" spans="1:8" ht="30" x14ac:dyDescent="0.25">
      <c r="A40" s="73" t="s">
        <v>58</v>
      </c>
      <c r="B40" s="74"/>
      <c r="C40" s="8"/>
      <c r="D40" s="8">
        <v>446512</v>
      </c>
      <c r="E40" s="8" t="s">
        <v>84</v>
      </c>
      <c r="F40" s="118"/>
      <c r="G40" s="119"/>
      <c r="H40">
        <f>474/31</f>
        <v>15.290322580645162</v>
      </c>
    </row>
    <row r="41" spans="1:8" x14ac:dyDescent="0.25">
      <c r="A41" s="73" t="s">
        <v>60</v>
      </c>
      <c r="B41" s="74"/>
      <c r="C41" s="8">
        <v>0</v>
      </c>
      <c r="D41" s="8"/>
      <c r="E41" s="8" t="s">
        <v>66</v>
      </c>
      <c r="F41" s="118"/>
      <c r="G41" s="119"/>
    </row>
    <row r="42" spans="1:8" x14ac:dyDescent="0.25">
      <c r="A42" s="73" t="s">
        <v>12</v>
      </c>
      <c r="B42" s="74"/>
      <c r="C42" s="8">
        <v>0</v>
      </c>
      <c r="D42" s="8"/>
      <c r="E42" s="8" t="s">
        <v>85</v>
      </c>
      <c r="F42" s="118"/>
      <c r="G42" s="119"/>
    </row>
    <row r="43" spans="1:8" ht="21.75" customHeight="1" x14ac:dyDescent="0.25">
      <c r="A43" s="79" t="s">
        <v>13</v>
      </c>
      <c r="B43" s="80"/>
      <c r="C43" s="8"/>
      <c r="D43" s="19">
        <f>SUM(D36:D40)</f>
        <v>996512</v>
      </c>
      <c r="E43" s="8"/>
      <c r="F43" s="120"/>
      <c r="G43" s="121"/>
    </row>
    <row r="44" spans="1:8" ht="32.25" customHeight="1" x14ac:dyDescent="0.25">
      <c r="A44" s="60"/>
      <c r="B44" s="60"/>
      <c r="C44" s="60"/>
      <c r="D44" s="60"/>
      <c r="E44" s="60"/>
      <c r="F44" s="60"/>
      <c r="G44" s="60"/>
    </row>
    <row r="45" spans="1:8" ht="43.5" customHeight="1" x14ac:dyDescent="0.25">
      <c r="A45" s="66" t="s">
        <v>22</v>
      </c>
      <c r="B45" s="67"/>
      <c r="C45" s="67"/>
      <c r="D45" s="67"/>
      <c r="E45" s="67"/>
      <c r="F45" s="67"/>
      <c r="G45" s="68"/>
    </row>
    <row r="46" spans="1:8" ht="45" x14ac:dyDescent="0.25">
      <c r="A46" s="6" t="s">
        <v>19</v>
      </c>
      <c r="B46" s="6" t="s">
        <v>23</v>
      </c>
      <c r="C46" s="6" t="s">
        <v>24</v>
      </c>
      <c r="D46" s="6" t="s">
        <v>10</v>
      </c>
      <c r="E46" s="69" t="s">
        <v>87</v>
      </c>
      <c r="F46" s="70"/>
      <c r="G46" s="17" t="s">
        <v>2</v>
      </c>
    </row>
    <row r="47" spans="1:8" ht="30" x14ac:dyDescent="0.25">
      <c r="A47" s="2" t="s">
        <v>88</v>
      </c>
      <c r="B47" s="5"/>
      <c r="C47" s="5"/>
      <c r="D47" s="20">
        <v>124957</v>
      </c>
      <c r="E47" s="81">
        <f>D47/C17</f>
        <v>21.08623017212285</v>
      </c>
      <c r="F47" s="82"/>
      <c r="G47" s="4"/>
    </row>
    <row r="48" spans="1:8" ht="42" customHeight="1" x14ac:dyDescent="0.25">
      <c r="A48" s="65"/>
      <c r="B48" s="65"/>
      <c r="C48" s="65"/>
      <c r="D48" s="65"/>
      <c r="E48" s="65"/>
      <c r="F48" s="65"/>
      <c r="G48" s="65"/>
    </row>
    <row r="49" spans="1:7" ht="49.5" customHeight="1" x14ac:dyDescent="0.25">
      <c r="A49" s="66" t="s">
        <v>89</v>
      </c>
      <c r="B49" s="67"/>
      <c r="C49" s="67"/>
      <c r="D49" s="67"/>
      <c r="E49" s="67"/>
      <c r="F49" s="67"/>
      <c r="G49" s="68"/>
    </row>
    <row r="50" spans="1:7" ht="27.75" customHeight="1" x14ac:dyDescent="0.25">
      <c r="A50" s="69" t="s">
        <v>19</v>
      </c>
      <c r="B50" s="83"/>
      <c r="C50" s="70"/>
      <c r="D50" s="21" t="s">
        <v>10</v>
      </c>
      <c r="E50" s="22" t="s">
        <v>90</v>
      </c>
      <c r="F50" s="71" t="s">
        <v>2</v>
      </c>
      <c r="G50" s="72"/>
    </row>
    <row r="51" spans="1:7" ht="27.75" customHeight="1" x14ac:dyDescent="0.25">
      <c r="A51" s="73" t="s">
        <v>96</v>
      </c>
      <c r="B51" s="84"/>
      <c r="C51" s="74"/>
      <c r="D51" s="8">
        <v>5510</v>
      </c>
      <c r="E51" s="85">
        <f>D54/C17</f>
        <v>1.436044549443132</v>
      </c>
      <c r="F51" s="34"/>
      <c r="G51" s="34"/>
    </row>
    <row r="52" spans="1:7" ht="27.75" customHeight="1" x14ac:dyDescent="0.25">
      <c r="A52" s="73" t="s">
        <v>91</v>
      </c>
      <c r="B52" s="84"/>
      <c r="C52" s="74"/>
      <c r="D52" s="30">
        <v>0</v>
      </c>
      <c r="E52" s="86"/>
      <c r="F52" s="34" t="s">
        <v>67</v>
      </c>
      <c r="G52" s="34"/>
    </row>
    <row r="53" spans="1:7" ht="27.75" customHeight="1" x14ac:dyDescent="0.25">
      <c r="A53" s="73" t="s">
        <v>61</v>
      </c>
      <c r="B53" s="84"/>
      <c r="C53" s="74"/>
      <c r="D53" s="30">
        <v>3000</v>
      </c>
      <c r="E53" s="86"/>
      <c r="F53" s="34" t="s">
        <v>105</v>
      </c>
      <c r="G53" s="34"/>
    </row>
    <row r="54" spans="1:7" ht="27.75" customHeight="1" x14ac:dyDescent="0.25">
      <c r="A54" s="79" t="s">
        <v>31</v>
      </c>
      <c r="B54" s="88"/>
      <c r="C54" s="80"/>
      <c r="D54" s="29">
        <f>SUM(D51:D53)</f>
        <v>8510</v>
      </c>
      <c r="E54" s="87"/>
      <c r="F54" s="34"/>
      <c r="G54" s="34"/>
    </row>
    <row r="55" spans="1:7" ht="43.5" customHeight="1" thickBot="1" x14ac:dyDescent="0.3">
      <c r="A55" s="65"/>
      <c r="B55" s="65"/>
      <c r="C55" s="65"/>
      <c r="D55" s="65"/>
      <c r="E55" s="65"/>
      <c r="F55" s="65"/>
      <c r="G55" s="65"/>
    </row>
    <row r="56" spans="1:7" ht="46.5" customHeight="1" x14ac:dyDescent="0.25">
      <c r="A56" s="97" t="s">
        <v>93</v>
      </c>
      <c r="B56" s="98"/>
      <c r="C56" s="98"/>
      <c r="D56" s="98"/>
      <c r="E56" s="98"/>
      <c r="F56" s="98"/>
      <c r="G56" s="99"/>
    </row>
    <row r="57" spans="1:7" ht="36" customHeight="1" x14ac:dyDescent="0.25">
      <c r="A57" s="100" t="s">
        <v>32</v>
      </c>
      <c r="B57" s="101"/>
      <c r="C57" s="24" t="s">
        <v>1</v>
      </c>
      <c r="D57" s="24" t="s">
        <v>33</v>
      </c>
      <c r="E57" s="25" t="s">
        <v>94</v>
      </c>
      <c r="F57" s="101" t="s">
        <v>2</v>
      </c>
      <c r="G57" s="102"/>
    </row>
    <row r="58" spans="1:7" ht="32.25" customHeight="1" x14ac:dyDescent="0.25">
      <c r="A58" s="89" t="s">
        <v>4</v>
      </c>
      <c r="B58" s="90"/>
      <c r="C58" s="31">
        <f>D13</f>
        <v>2560331.2999999998</v>
      </c>
      <c r="D58" s="33">
        <f>C58/C64%</f>
        <v>7.9548193253753583</v>
      </c>
      <c r="E58" s="122">
        <f>C64/C17</f>
        <v>5431.3050815052311</v>
      </c>
      <c r="F58" s="93"/>
      <c r="G58" s="94"/>
    </row>
    <row r="59" spans="1:7" ht="32.25" customHeight="1" x14ac:dyDescent="0.25">
      <c r="A59" s="89" t="s">
        <v>5</v>
      </c>
      <c r="B59" s="90"/>
      <c r="C59" s="32">
        <f>F17</f>
        <v>1311945</v>
      </c>
      <c r="D59" s="33">
        <f>C59/C64%</f>
        <v>4.0761464892569075</v>
      </c>
      <c r="E59" s="122"/>
      <c r="F59" s="93"/>
      <c r="G59" s="94"/>
    </row>
    <row r="60" spans="1:7" ht="32.25" customHeight="1" x14ac:dyDescent="0.25">
      <c r="A60" s="89" t="s">
        <v>38</v>
      </c>
      <c r="B60" s="90"/>
      <c r="C60" s="31">
        <f>D32</f>
        <v>27183658.612999998</v>
      </c>
      <c r="D60" s="33">
        <f>C60/C64%</f>
        <v>84.458246817159448</v>
      </c>
      <c r="E60" s="122"/>
      <c r="F60" s="93"/>
      <c r="G60" s="94"/>
    </row>
    <row r="61" spans="1:7" ht="32.25" customHeight="1" x14ac:dyDescent="0.25">
      <c r="A61" s="89" t="s">
        <v>3</v>
      </c>
      <c r="B61" s="90"/>
      <c r="C61" s="32">
        <f>D43</f>
        <v>996512</v>
      </c>
      <c r="D61" s="33">
        <f>C61/C64%</f>
        <v>3.0961121771891196</v>
      </c>
      <c r="E61" s="122"/>
      <c r="F61" s="93"/>
      <c r="G61" s="94"/>
    </row>
    <row r="62" spans="1:7" ht="32.25" customHeight="1" x14ac:dyDescent="0.25">
      <c r="A62" s="89" t="s">
        <v>6</v>
      </c>
      <c r="B62" s="90"/>
      <c r="C62" s="32">
        <f>D47</f>
        <v>124957</v>
      </c>
      <c r="D62" s="33">
        <f>C62/C64%</f>
        <v>0.38823505319054946</v>
      </c>
      <c r="E62" s="122"/>
      <c r="F62" s="93"/>
      <c r="G62" s="94"/>
    </row>
    <row r="63" spans="1:7" ht="32.25" customHeight="1" x14ac:dyDescent="0.25">
      <c r="A63" s="89" t="s">
        <v>95</v>
      </c>
      <c r="B63" s="90"/>
      <c r="C63" s="32">
        <f>D54</f>
        <v>8510</v>
      </c>
      <c r="D63" s="33">
        <f>C63/C64%</f>
        <v>2.6440137828625657E-2</v>
      </c>
      <c r="E63" s="122"/>
      <c r="F63" s="107"/>
      <c r="G63" s="108"/>
    </row>
    <row r="64" spans="1:7" ht="32.25" customHeight="1" x14ac:dyDescent="0.25">
      <c r="A64" s="109" t="s">
        <v>7</v>
      </c>
      <c r="B64" s="110"/>
      <c r="C64" s="111">
        <f>SUM(C58:C63)</f>
        <v>32185913.912999999</v>
      </c>
      <c r="D64" s="112"/>
      <c r="E64" s="85"/>
      <c r="F64" s="95"/>
      <c r="G64" s="96"/>
    </row>
    <row r="65" spans="1:7" ht="45" customHeight="1" thickBot="1" x14ac:dyDescent="0.3">
      <c r="A65" s="103" t="s">
        <v>97</v>
      </c>
      <c r="B65" s="104"/>
      <c r="C65" s="105"/>
      <c r="D65" s="105"/>
      <c r="E65" s="105"/>
      <c r="F65" s="105"/>
      <c r="G65" s="106"/>
    </row>
  </sheetData>
  <mergeCells count="86">
    <mergeCell ref="A61:B61"/>
    <mergeCell ref="C65:G65"/>
    <mergeCell ref="A65:B65"/>
    <mergeCell ref="A62:B62"/>
    <mergeCell ref="A63:B63"/>
    <mergeCell ref="A64:B64"/>
    <mergeCell ref="C64:D64"/>
    <mergeCell ref="E58:E64"/>
    <mergeCell ref="F58:G58"/>
    <mergeCell ref="F59:G59"/>
    <mergeCell ref="F60:G60"/>
    <mergeCell ref="F61:G61"/>
    <mergeCell ref="F62:G62"/>
    <mergeCell ref="F63:G63"/>
    <mergeCell ref="F64:G64"/>
    <mergeCell ref="A57:B57"/>
    <mergeCell ref="A58:B58"/>
    <mergeCell ref="A59:B59"/>
    <mergeCell ref="A60:B60"/>
    <mergeCell ref="F57:G57"/>
    <mergeCell ref="E47:F47"/>
    <mergeCell ref="A49:G49"/>
    <mergeCell ref="F50:G50"/>
    <mergeCell ref="F51:G51"/>
    <mergeCell ref="F52:G52"/>
    <mergeCell ref="A48:G48"/>
    <mergeCell ref="A50:C50"/>
    <mergeCell ref="A51:C51"/>
    <mergeCell ref="A52:C52"/>
    <mergeCell ref="A53:C53"/>
    <mergeCell ref="A54:C54"/>
    <mergeCell ref="E51:E54"/>
    <mergeCell ref="A55:G55"/>
    <mergeCell ref="A56:G56"/>
    <mergeCell ref="F53:G53"/>
    <mergeCell ref="F54:G54"/>
    <mergeCell ref="A45:G45"/>
    <mergeCell ref="A44:G44"/>
    <mergeCell ref="E46:F46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F36:G43"/>
    <mergeCell ref="A33:G33"/>
    <mergeCell ref="A34:G34"/>
    <mergeCell ref="F35:G35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E25:E32"/>
    <mergeCell ref="A15:G15"/>
    <mergeCell ref="G17:G21"/>
    <mergeCell ref="A22:G22"/>
    <mergeCell ref="A2:C2"/>
    <mergeCell ref="D3:G3"/>
    <mergeCell ref="A3:C3"/>
    <mergeCell ref="A4:G4"/>
    <mergeCell ref="A5:G5"/>
    <mergeCell ref="A1:G1"/>
    <mergeCell ref="D2:G2"/>
    <mergeCell ref="A23:G23"/>
    <mergeCell ref="D17:D21"/>
    <mergeCell ref="C17:C21"/>
    <mergeCell ref="E6:G6"/>
    <mergeCell ref="E7:G7"/>
    <mergeCell ref="E8:G8"/>
    <mergeCell ref="E9:G9"/>
    <mergeCell ref="E10:G10"/>
    <mergeCell ref="E11:G11"/>
    <mergeCell ref="E12:G12"/>
    <mergeCell ref="E13:G13"/>
    <mergeCell ref="A14:G14"/>
    <mergeCell ref="F17:F21"/>
    <mergeCell ref="E17:E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FE4F-5D37-4023-81DB-9C1B978F1FBA}">
  <dimension ref="A1:H65"/>
  <sheetViews>
    <sheetView topLeftCell="A39" zoomScale="90" zoomScaleNormal="90" workbookViewId="0">
      <selection activeCell="I63" sqref="I63"/>
    </sheetView>
  </sheetViews>
  <sheetFormatPr defaultRowHeight="15" x14ac:dyDescent="0.25"/>
  <cols>
    <col min="1" max="1" width="44.28515625" style="1" customWidth="1"/>
    <col min="2" max="2" width="12.140625" customWidth="1"/>
    <col min="3" max="3" width="15.28515625" customWidth="1"/>
    <col min="4" max="4" width="17.140625" customWidth="1"/>
    <col min="5" max="5" width="34.5703125" customWidth="1"/>
    <col min="6" max="6" width="12.42578125" customWidth="1"/>
    <col min="7" max="7" width="13.42578125" customWidth="1"/>
  </cols>
  <sheetData>
    <row r="1" spans="1:7" ht="63" customHeight="1" x14ac:dyDescent="0.25">
      <c r="A1" s="35" t="s">
        <v>0</v>
      </c>
      <c r="B1" s="36"/>
      <c r="C1" s="36"/>
      <c r="D1" s="36"/>
      <c r="E1" s="36"/>
      <c r="F1" s="36"/>
      <c r="G1" s="37"/>
    </row>
    <row r="2" spans="1:7" ht="34.5" customHeight="1" thickBot="1" x14ac:dyDescent="0.3">
      <c r="A2" s="38" t="s">
        <v>43</v>
      </c>
      <c r="B2" s="39"/>
      <c r="C2" s="39"/>
      <c r="D2" s="39" t="s">
        <v>35</v>
      </c>
      <c r="E2" s="39"/>
      <c r="F2" s="39"/>
      <c r="G2" s="40"/>
    </row>
    <row r="3" spans="1:7" ht="38.25" customHeight="1" thickBot="1" x14ac:dyDescent="0.3">
      <c r="A3" s="41" t="s">
        <v>37</v>
      </c>
      <c r="B3" s="42"/>
      <c r="C3" s="42"/>
      <c r="D3" s="42" t="s">
        <v>36</v>
      </c>
      <c r="E3" s="42"/>
      <c r="F3" s="42"/>
      <c r="G3" s="43"/>
    </row>
    <row r="4" spans="1:7" s="10" customFormat="1" ht="23.25" customHeight="1" x14ac:dyDescent="0.25">
      <c r="A4" s="44"/>
      <c r="B4" s="44"/>
      <c r="C4" s="44"/>
      <c r="D4" s="44"/>
      <c r="E4" s="44"/>
      <c r="F4" s="44"/>
      <c r="G4" s="44"/>
    </row>
    <row r="5" spans="1:7" ht="39" customHeight="1" x14ac:dyDescent="0.25">
      <c r="A5" s="45" t="s">
        <v>39</v>
      </c>
      <c r="B5" s="46"/>
      <c r="C5" s="46"/>
      <c r="D5" s="46"/>
      <c r="E5" s="46"/>
      <c r="F5" s="46"/>
      <c r="G5" s="47"/>
    </row>
    <row r="6" spans="1:7" ht="18.75" customHeight="1" x14ac:dyDescent="0.25">
      <c r="A6" s="15" t="s">
        <v>14</v>
      </c>
      <c r="B6" s="15" t="s">
        <v>15</v>
      </c>
      <c r="C6" s="16" t="s">
        <v>16</v>
      </c>
      <c r="D6" s="16" t="s">
        <v>10</v>
      </c>
      <c r="E6" s="48" t="s">
        <v>2</v>
      </c>
      <c r="F6" s="48"/>
      <c r="G6" s="48"/>
    </row>
    <row r="7" spans="1:7" x14ac:dyDescent="0.25">
      <c r="A7" s="2" t="s">
        <v>17</v>
      </c>
      <c r="B7" s="8">
        <v>1</v>
      </c>
      <c r="C7" s="8"/>
      <c r="D7" s="8">
        <v>0</v>
      </c>
      <c r="E7" s="34" t="s">
        <v>70</v>
      </c>
      <c r="F7" s="34"/>
      <c r="G7" s="34"/>
    </row>
    <row r="8" spans="1:7" ht="60" customHeight="1" x14ac:dyDescent="0.25">
      <c r="A8" s="2" t="s">
        <v>50</v>
      </c>
      <c r="B8" s="8">
        <v>0</v>
      </c>
      <c r="C8" s="11"/>
      <c r="D8" s="12">
        <v>0</v>
      </c>
      <c r="E8" s="34" t="s">
        <v>75</v>
      </c>
      <c r="F8" s="34"/>
      <c r="G8" s="34"/>
    </row>
    <row r="9" spans="1:7" x14ac:dyDescent="0.25">
      <c r="A9" s="2" t="s">
        <v>52</v>
      </c>
      <c r="B9" s="8">
        <v>1</v>
      </c>
      <c r="C9" s="8"/>
      <c r="D9" s="8">
        <v>155760</v>
      </c>
      <c r="E9" s="34" t="s">
        <v>98</v>
      </c>
      <c r="F9" s="34"/>
      <c r="G9" s="34"/>
    </row>
    <row r="10" spans="1:7" x14ac:dyDescent="0.25">
      <c r="A10" s="2" t="s">
        <v>51</v>
      </c>
      <c r="B10" s="8">
        <v>0</v>
      </c>
      <c r="C10" s="8"/>
      <c r="D10" s="8">
        <f>B10*C10</f>
        <v>0</v>
      </c>
      <c r="E10" s="34" t="s">
        <v>63</v>
      </c>
      <c r="F10" s="34"/>
      <c r="G10" s="34"/>
    </row>
    <row r="11" spans="1:7" x14ac:dyDescent="0.25">
      <c r="A11" s="2" t="s">
        <v>53</v>
      </c>
      <c r="B11" s="8">
        <v>0</v>
      </c>
      <c r="C11" s="8"/>
      <c r="D11" s="8">
        <v>0</v>
      </c>
      <c r="E11" s="34" t="s">
        <v>99</v>
      </c>
      <c r="F11" s="34"/>
      <c r="G11" s="34"/>
    </row>
    <row r="12" spans="1:7" ht="30" customHeight="1" x14ac:dyDescent="0.25">
      <c r="A12" s="2" t="s">
        <v>54</v>
      </c>
      <c r="B12" s="8"/>
      <c r="C12" s="8"/>
      <c r="D12" s="8">
        <v>185000</v>
      </c>
      <c r="E12" s="34" t="s">
        <v>100</v>
      </c>
      <c r="F12" s="34"/>
      <c r="G12" s="34"/>
    </row>
    <row r="13" spans="1:7" ht="22.5" customHeight="1" x14ac:dyDescent="0.25">
      <c r="A13" s="3" t="s">
        <v>18</v>
      </c>
      <c r="B13" s="2"/>
      <c r="C13" s="5"/>
      <c r="D13" s="14">
        <f>SUM(D7:D12)</f>
        <v>340760</v>
      </c>
      <c r="E13" s="55"/>
      <c r="F13" s="56"/>
      <c r="G13" s="57"/>
    </row>
    <row r="14" spans="1:7" ht="34.5" customHeight="1" x14ac:dyDescent="0.25">
      <c r="A14" s="58"/>
      <c r="B14" s="58"/>
      <c r="C14" s="58"/>
      <c r="D14" s="58"/>
      <c r="E14" s="58"/>
      <c r="F14" s="58"/>
      <c r="G14" s="58"/>
    </row>
    <row r="15" spans="1:7" ht="46.5" customHeight="1" x14ac:dyDescent="0.25">
      <c r="A15" s="59" t="s">
        <v>40</v>
      </c>
      <c r="B15" s="59"/>
      <c r="C15" s="59"/>
      <c r="D15" s="59"/>
      <c r="E15" s="59"/>
      <c r="F15" s="59"/>
      <c r="G15" s="59"/>
    </row>
    <row r="16" spans="1:7" ht="60" x14ac:dyDescent="0.25">
      <c r="A16" s="6" t="s">
        <v>19</v>
      </c>
      <c r="B16" s="6" t="s">
        <v>20</v>
      </c>
      <c r="C16" s="6" t="s">
        <v>47</v>
      </c>
      <c r="D16" s="6" t="s">
        <v>48</v>
      </c>
      <c r="E16" s="6" t="s">
        <v>49</v>
      </c>
      <c r="F16" s="7" t="s">
        <v>10</v>
      </c>
      <c r="G16" s="6" t="s">
        <v>76</v>
      </c>
    </row>
    <row r="17" spans="1:8" ht="30" x14ac:dyDescent="0.25">
      <c r="A17" s="2" t="s">
        <v>77</v>
      </c>
      <c r="B17" s="5">
        <v>0</v>
      </c>
      <c r="C17" s="123">
        <v>1772</v>
      </c>
      <c r="D17" s="49">
        <f>B21/C17</f>
        <v>0.73363431151241532</v>
      </c>
      <c r="E17" s="34">
        <v>88.05</v>
      </c>
      <c r="F17" s="51">
        <f>E17*B21</f>
        <v>114465</v>
      </c>
      <c r="G17" s="113">
        <f>F17/C17</f>
        <v>64.596501128668166</v>
      </c>
      <c r="H17" s="13"/>
    </row>
    <row r="18" spans="1:8" x14ac:dyDescent="0.25">
      <c r="A18" s="2" t="s">
        <v>44</v>
      </c>
      <c r="B18" s="5">
        <v>1300</v>
      </c>
      <c r="C18" s="124"/>
      <c r="D18" s="49"/>
      <c r="E18" s="34"/>
      <c r="F18" s="51"/>
      <c r="G18" s="114"/>
    </row>
    <row r="19" spans="1:8" x14ac:dyDescent="0.25">
      <c r="A19" s="2" t="s">
        <v>45</v>
      </c>
      <c r="B19" s="5">
        <v>0</v>
      </c>
      <c r="C19" s="124"/>
      <c r="D19" s="49"/>
      <c r="E19" s="34"/>
      <c r="F19" s="51"/>
      <c r="G19" s="114"/>
    </row>
    <row r="20" spans="1:8" x14ac:dyDescent="0.25">
      <c r="A20" s="2" t="s">
        <v>46</v>
      </c>
      <c r="B20" s="5">
        <v>0</v>
      </c>
      <c r="C20" s="124"/>
      <c r="D20" s="49"/>
      <c r="E20" s="34"/>
      <c r="F20" s="51"/>
      <c r="G20" s="114"/>
    </row>
    <row r="21" spans="1:8" ht="19.5" customHeight="1" x14ac:dyDescent="0.25">
      <c r="A21" s="3" t="s">
        <v>21</v>
      </c>
      <c r="B21" s="7">
        <f>SUM(B17:B20)</f>
        <v>1300</v>
      </c>
      <c r="C21" s="125"/>
      <c r="D21" s="49"/>
      <c r="E21" s="34"/>
      <c r="F21" s="51"/>
      <c r="G21" s="115"/>
    </row>
    <row r="22" spans="1:8" ht="33.75" customHeight="1" x14ac:dyDescent="0.25">
      <c r="A22" s="60"/>
      <c r="B22" s="60"/>
      <c r="C22" s="60"/>
      <c r="D22" s="60"/>
      <c r="E22" s="60"/>
      <c r="F22" s="60"/>
      <c r="G22" s="60"/>
    </row>
    <row r="23" spans="1:8" ht="38.25" customHeight="1" x14ac:dyDescent="0.25">
      <c r="A23" s="45" t="s">
        <v>41</v>
      </c>
      <c r="B23" s="46"/>
      <c r="C23" s="46"/>
      <c r="D23" s="46"/>
      <c r="E23" s="46"/>
      <c r="F23" s="46"/>
      <c r="G23" s="47"/>
    </row>
    <row r="24" spans="1:8" ht="45" x14ac:dyDescent="0.25">
      <c r="A24" s="15" t="s">
        <v>25</v>
      </c>
      <c r="B24" s="15" t="s">
        <v>78</v>
      </c>
      <c r="C24" s="15" t="s">
        <v>81</v>
      </c>
      <c r="D24" s="15" t="s">
        <v>10</v>
      </c>
      <c r="E24" s="18" t="s">
        <v>82</v>
      </c>
      <c r="F24" s="61" t="s">
        <v>2</v>
      </c>
      <c r="G24" s="62"/>
    </row>
    <row r="25" spans="1:8" x14ac:dyDescent="0.25">
      <c r="A25" s="2" t="s">
        <v>26</v>
      </c>
      <c r="B25" s="11">
        <v>6619.99</v>
      </c>
      <c r="C25" s="8">
        <v>442.13</v>
      </c>
      <c r="D25" s="11">
        <f>B25*C25</f>
        <v>2926896.1787</v>
      </c>
      <c r="E25" s="116">
        <f>D32/C17</f>
        <v>4279.9499676636569</v>
      </c>
      <c r="F25" s="34"/>
      <c r="G25" s="34"/>
    </row>
    <row r="26" spans="1:8" x14ac:dyDescent="0.25">
      <c r="A26" s="2" t="s">
        <v>79</v>
      </c>
      <c r="B26" s="9">
        <f>1280+5%*1280</f>
        <v>1344</v>
      </c>
      <c r="C26" s="8">
        <v>1011</v>
      </c>
      <c r="D26" s="11">
        <f t="shared" ref="D26:D31" si="0">B26*C26</f>
        <v>1358784</v>
      </c>
      <c r="E26" s="116"/>
      <c r="F26" s="34"/>
      <c r="G26" s="34"/>
    </row>
    <row r="27" spans="1:8" x14ac:dyDescent="0.25">
      <c r="A27" s="2" t="s">
        <v>80</v>
      </c>
      <c r="B27" s="9">
        <f>1245+5%*1245</f>
        <v>1307.25</v>
      </c>
      <c r="C27" s="8">
        <v>916</v>
      </c>
      <c r="D27" s="11">
        <f t="shared" si="0"/>
        <v>1197441</v>
      </c>
      <c r="E27" s="116"/>
      <c r="F27" s="34"/>
      <c r="G27" s="34"/>
    </row>
    <row r="28" spans="1:8" x14ac:dyDescent="0.25">
      <c r="A28" s="2" t="s">
        <v>27</v>
      </c>
      <c r="B28" s="9">
        <f>1235+5%*1235</f>
        <v>1296.75</v>
      </c>
      <c r="C28" s="8">
        <v>1406</v>
      </c>
      <c r="D28" s="11">
        <f t="shared" si="0"/>
        <v>1823230.5</v>
      </c>
      <c r="E28" s="116"/>
      <c r="F28" s="34"/>
      <c r="G28" s="34"/>
    </row>
    <row r="29" spans="1:8" x14ac:dyDescent="0.25">
      <c r="A29" s="2" t="s">
        <v>28</v>
      </c>
      <c r="B29" s="9">
        <f>1275+5%*1275</f>
        <v>1338.75</v>
      </c>
      <c r="C29" s="8">
        <v>207.3</v>
      </c>
      <c r="D29" s="11">
        <f t="shared" si="0"/>
        <v>277522.875</v>
      </c>
      <c r="E29" s="116"/>
      <c r="F29" s="34"/>
      <c r="G29" s="34"/>
    </row>
    <row r="30" spans="1:8" x14ac:dyDescent="0.25">
      <c r="A30" s="2" t="s">
        <v>29</v>
      </c>
      <c r="B30" s="9">
        <v>53</v>
      </c>
      <c r="C30" s="8">
        <v>3.7130000000000001</v>
      </c>
      <c r="D30" s="11">
        <f t="shared" si="0"/>
        <v>196.78900000000002</v>
      </c>
      <c r="E30" s="116"/>
      <c r="F30" s="34"/>
      <c r="G30" s="34"/>
    </row>
    <row r="31" spans="1:8" x14ac:dyDescent="0.25">
      <c r="A31" s="2" t="s">
        <v>55</v>
      </c>
      <c r="B31" s="8"/>
      <c r="C31" s="8">
        <v>0</v>
      </c>
      <c r="D31" s="8">
        <f t="shared" si="0"/>
        <v>0</v>
      </c>
      <c r="E31" s="116"/>
      <c r="F31" s="34"/>
      <c r="G31" s="34"/>
    </row>
    <row r="32" spans="1:8" ht="20.25" customHeight="1" x14ac:dyDescent="0.25">
      <c r="A32" s="3" t="s">
        <v>30</v>
      </c>
      <c r="B32" s="8"/>
      <c r="C32" s="8"/>
      <c r="D32" s="14">
        <f>SUM(D25:D31)</f>
        <v>7584071.3426999999</v>
      </c>
      <c r="E32" s="117"/>
      <c r="F32" s="34"/>
      <c r="G32" s="34"/>
    </row>
    <row r="33" spans="1:7" ht="37.5" customHeight="1" x14ac:dyDescent="0.25">
      <c r="A33" s="65"/>
      <c r="B33" s="65"/>
      <c r="C33" s="65"/>
      <c r="D33" s="65"/>
      <c r="E33" s="65"/>
      <c r="F33" s="65"/>
      <c r="G33" s="65"/>
    </row>
    <row r="34" spans="1:7" ht="45" customHeight="1" x14ac:dyDescent="0.25">
      <c r="A34" s="66" t="s">
        <v>42</v>
      </c>
      <c r="B34" s="67"/>
      <c r="C34" s="67"/>
      <c r="D34" s="67"/>
      <c r="E34" s="67"/>
      <c r="F34" s="67"/>
      <c r="G34" s="68"/>
    </row>
    <row r="35" spans="1:7" ht="45" customHeight="1" x14ac:dyDescent="0.25">
      <c r="A35" s="69" t="s">
        <v>8</v>
      </c>
      <c r="B35" s="70"/>
      <c r="C35" s="6" t="s">
        <v>9</v>
      </c>
      <c r="D35" s="6" t="s">
        <v>10</v>
      </c>
      <c r="E35" s="6" t="s">
        <v>83</v>
      </c>
      <c r="F35" s="71" t="s">
        <v>86</v>
      </c>
      <c r="G35" s="72"/>
    </row>
    <row r="36" spans="1:7" ht="32.25" customHeight="1" x14ac:dyDescent="0.25">
      <c r="A36" s="73" t="s">
        <v>56</v>
      </c>
      <c r="B36" s="74"/>
      <c r="C36" s="8">
        <v>0</v>
      </c>
      <c r="D36" s="8"/>
      <c r="E36" s="8" t="s">
        <v>101</v>
      </c>
      <c r="F36" s="118">
        <f>D43/C17</f>
        <v>22.573363431151243</v>
      </c>
      <c r="G36" s="119"/>
    </row>
    <row r="37" spans="1:7" ht="45" x14ac:dyDescent="0.25">
      <c r="A37" s="73" t="s">
        <v>57</v>
      </c>
      <c r="B37" s="74"/>
      <c r="C37" s="8">
        <v>0</v>
      </c>
      <c r="D37" s="8"/>
      <c r="E37" s="8" t="s">
        <v>101</v>
      </c>
      <c r="F37" s="118"/>
      <c r="G37" s="119"/>
    </row>
    <row r="38" spans="1:7" x14ac:dyDescent="0.25">
      <c r="A38" s="73" t="s">
        <v>11</v>
      </c>
      <c r="B38" s="74"/>
      <c r="C38" s="8">
        <v>1</v>
      </c>
      <c r="D38" s="8">
        <v>40000</v>
      </c>
      <c r="E38" s="8" t="s">
        <v>69</v>
      </c>
      <c r="F38" s="118"/>
      <c r="G38" s="119"/>
    </row>
    <row r="39" spans="1:7" ht="45" x14ac:dyDescent="0.25">
      <c r="A39" s="73" t="s">
        <v>59</v>
      </c>
      <c r="B39" s="74"/>
      <c r="C39" s="8">
        <v>0</v>
      </c>
      <c r="D39" s="8"/>
      <c r="E39" s="8" t="s">
        <v>101</v>
      </c>
      <c r="F39" s="118"/>
      <c r="G39" s="119"/>
    </row>
    <row r="40" spans="1:7" ht="45" x14ac:dyDescent="0.25">
      <c r="A40" s="73" t="s">
        <v>58</v>
      </c>
      <c r="B40" s="74"/>
      <c r="C40" s="8"/>
      <c r="D40" s="8">
        <v>0</v>
      </c>
      <c r="E40" s="8" t="s">
        <v>101</v>
      </c>
      <c r="F40" s="118"/>
      <c r="G40" s="119"/>
    </row>
    <row r="41" spans="1:7" x14ac:dyDescent="0.25">
      <c r="A41" s="73" t="s">
        <v>60</v>
      </c>
      <c r="B41" s="74"/>
      <c r="C41" s="8"/>
      <c r="D41" s="8"/>
      <c r="E41" s="8" t="s">
        <v>66</v>
      </c>
      <c r="F41" s="118"/>
      <c r="G41" s="119"/>
    </row>
    <row r="42" spans="1:7" x14ac:dyDescent="0.25">
      <c r="A42" s="73" t="s">
        <v>12</v>
      </c>
      <c r="B42" s="74"/>
      <c r="C42" s="8">
        <v>0</v>
      </c>
      <c r="D42" s="8"/>
      <c r="E42" s="8" t="s">
        <v>85</v>
      </c>
      <c r="F42" s="118"/>
      <c r="G42" s="119"/>
    </row>
    <row r="43" spans="1:7" ht="21.75" customHeight="1" x14ac:dyDescent="0.25">
      <c r="A43" s="79" t="s">
        <v>13</v>
      </c>
      <c r="B43" s="80"/>
      <c r="C43" s="8"/>
      <c r="D43" s="19">
        <f>SUM(D36:D42)</f>
        <v>40000</v>
      </c>
      <c r="E43" s="8"/>
      <c r="F43" s="120"/>
      <c r="G43" s="121"/>
    </row>
    <row r="44" spans="1:7" ht="32.25" customHeight="1" x14ac:dyDescent="0.25">
      <c r="A44" s="60"/>
      <c r="B44" s="60"/>
      <c r="C44" s="60"/>
      <c r="D44" s="60"/>
      <c r="E44" s="60"/>
      <c r="F44" s="60"/>
      <c r="G44" s="60"/>
    </row>
    <row r="45" spans="1:7" ht="43.5" customHeight="1" x14ac:dyDescent="0.25">
      <c r="A45" s="66" t="s">
        <v>22</v>
      </c>
      <c r="B45" s="67"/>
      <c r="C45" s="67"/>
      <c r="D45" s="67"/>
      <c r="E45" s="67"/>
      <c r="F45" s="67"/>
      <c r="G45" s="68"/>
    </row>
    <row r="46" spans="1:7" ht="45" x14ac:dyDescent="0.25">
      <c r="A46" s="6" t="s">
        <v>19</v>
      </c>
      <c r="B46" s="6" t="s">
        <v>23</v>
      </c>
      <c r="C46" s="6" t="s">
        <v>24</v>
      </c>
      <c r="D46" s="6" t="s">
        <v>10</v>
      </c>
      <c r="E46" s="69" t="s">
        <v>87</v>
      </c>
      <c r="F46" s="70"/>
      <c r="G46" s="17" t="s">
        <v>2</v>
      </c>
    </row>
    <row r="47" spans="1:7" ht="30" x14ac:dyDescent="0.25">
      <c r="A47" s="2" t="s">
        <v>88</v>
      </c>
      <c r="B47" s="5"/>
      <c r="C47" s="5"/>
      <c r="D47" s="20">
        <v>58577</v>
      </c>
      <c r="E47" s="81">
        <f>D47/C17</f>
        <v>33.056997742663654</v>
      </c>
      <c r="F47" s="82"/>
      <c r="G47" s="4"/>
    </row>
    <row r="48" spans="1:7" ht="42" customHeight="1" x14ac:dyDescent="0.25">
      <c r="A48" s="65"/>
      <c r="B48" s="65"/>
      <c r="C48" s="65"/>
      <c r="D48" s="65"/>
      <c r="E48" s="65"/>
      <c r="F48" s="65"/>
      <c r="G48" s="65"/>
    </row>
    <row r="49" spans="1:7" ht="49.5" customHeight="1" x14ac:dyDescent="0.25">
      <c r="A49" s="66" t="s">
        <v>89</v>
      </c>
      <c r="B49" s="67"/>
      <c r="C49" s="67"/>
      <c r="D49" s="67"/>
      <c r="E49" s="67"/>
      <c r="F49" s="67"/>
      <c r="G49" s="68"/>
    </row>
    <row r="50" spans="1:7" ht="27.75" customHeight="1" x14ac:dyDescent="0.25">
      <c r="A50" s="69" t="s">
        <v>19</v>
      </c>
      <c r="B50" s="83"/>
      <c r="C50" s="70"/>
      <c r="D50" s="21" t="s">
        <v>10</v>
      </c>
      <c r="E50" s="22" t="s">
        <v>90</v>
      </c>
      <c r="F50" s="71" t="s">
        <v>2</v>
      </c>
      <c r="G50" s="72"/>
    </row>
    <row r="51" spans="1:7" ht="27.75" customHeight="1" x14ac:dyDescent="0.25">
      <c r="A51" s="73" t="s">
        <v>96</v>
      </c>
      <c r="B51" s="84"/>
      <c r="C51" s="74"/>
      <c r="D51" s="5">
        <v>0</v>
      </c>
      <c r="E51" s="85">
        <f>D54/C17</f>
        <v>0</v>
      </c>
      <c r="F51" s="34"/>
      <c r="G51" s="34"/>
    </row>
    <row r="52" spans="1:7" ht="27.75" customHeight="1" x14ac:dyDescent="0.25">
      <c r="A52" s="73" t="s">
        <v>91</v>
      </c>
      <c r="B52" s="84"/>
      <c r="C52" s="74"/>
      <c r="D52" s="4">
        <v>0</v>
      </c>
      <c r="E52" s="86"/>
      <c r="F52" s="34" t="s">
        <v>67</v>
      </c>
      <c r="G52" s="34"/>
    </row>
    <row r="53" spans="1:7" ht="27.75" customHeight="1" x14ac:dyDescent="0.25">
      <c r="A53" s="73" t="s">
        <v>61</v>
      </c>
      <c r="B53" s="84"/>
      <c r="C53" s="74"/>
      <c r="D53" s="4">
        <v>0</v>
      </c>
      <c r="E53" s="86"/>
      <c r="F53" s="34" t="s">
        <v>102</v>
      </c>
      <c r="G53" s="34"/>
    </row>
    <row r="54" spans="1:7" ht="27.75" customHeight="1" x14ac:dyDescent="0.25">
      <c r="A54" s="79" t="s">
        <v>31</v>
      </c>
      <c r="B54" s="88"/>
      <c r="C54" s="80"/>
      <c r="D54" s="29">
        <f>SUM(D51:D53)</f>
        <v>0</v>
      </c>
      <c r="E54" s="87"/>
      <c r="F54" s="34"/>
      <c r="G54" s="34"/>
    </row>
    <row r="55" spans="1:7" ht="43.5" customHeight="1" thickBot="1" x14ac:dyDescent="0.3">
      <c r="A55" s="65"/>
      <c r="B55" s="65"/>
      <c r="C55" s="65"/>
      <c r="D55" s="65"/>
      <c r="E55" s="65"/>
      <c r="F55" s="65"/>
      <c r="G55" s="65"/>
    </row>
    <row r="56" spans="1:7" ht="46.5" customHeight="1" x14ac:dyDescent="0.25">
      <c r="A56" s="97" t="s">
        <v>93</v>
      </c>
      <c r="B56" s="98"/>
      <c r="C56" s="98"/>
      <c r="D56" s="98"/>
      <c r="E56" s="98"/>
      <c r="F56" s="98"/>
      <c r="G56" s="99"/>
    </row>
    <row r="57" spans="1:7" ht="36" customHeight="1" x14ac:dyDescent="0.25">
      <c r="A57" s="100" t="s">
        <v>32</v>
      </c>
      <c r="B57" s="101"/>
      <c r="C57" s="24" t="s">
        <v>1</v>
      </c>
      <c r="D57" s="24" t="s">
        <v>33</v>
      </c>
      <c r="E57" s="25" t="s">
        <v>94</v>
      </c>
      <c r="F57" s="101" t="s">
        <v>2</v>
      </c>
      <c r="G57" s="102"/>
    </row>
    <row r="58" spans="1:7" ht="32.25" customHeight="1" x14ac:dyDescent="0.25">
      <c r="A58" s="89" t="s">
        <v>4</v>
      </c>
      <c r="B58" s="90"/>
      <c r="C58" s="31">
        <f>D13</f>
        <v>340760</v>
      </c>
      <c r="D58" s="33">
        <f>C58/C64%</f>
        <v>4.1873347697857133</v>
      </c>
      <c r="E58" s="122">
        <f>C64/C17</f>
        <v>4592.4793130361177</v>
      </c>
      <c r="F58" s="93"/>
      <c r="G58" s="94"/>
    </row>
    <row r="59" spans="1:7" ht="32.25" customHeight="1" x14ac:dyDescent="0.25">
      <c r="A59" s="89" t="s">
        <v>5</v>
      </c>
      <c r="B59" s="90"/>
      <c r="C59" s="32">
        <f>F17</f>
        <v>114465</v>
      </c>
      <c r="D59" s="33">
        <f>C59/C64%</f>
        <v>1.406571412206602</v>
      </c>
      <c r="E59" s="122"/>
      <c r="F59" s="93"/>
      <c r="G59" s="94"/>
    </row>
    <row r="60" spans="1:7" ht="32.25" customHeight="1" x14ac:dyDescent="0.25">
      <c r="A60" s="89" t="s">
        <v>38</v>
      </c>
      <c r="B60" s="90"/>
      <c r="C60" s="31">
        <f>D32</f>
        <v>7584071.3426999999</v>
      </c>
      <c r="D60" s="33">
        <f>C60/C64%</f>
        <v>93.194757688176821</v>
      </c>
      <c r="E60" s="122"/>
      <c r="F60" s="93"/>
      <c r="G60" s="94"/>
    </row>
    <row r="61" spans="1:7" ht="32.25" customHeight="1" x14ac:dyDescent="0.25">
      <c r="A61" s="89" t="s">
        <v>3</v>
      </c>
      <c r="B61" s="90"/>
      <c r="C61" s="32">
        <f>D43</f>
        <v>40000</v>
      </c>
      <c r="D61" s="33">
        <f>C61/C64%</f>
        <v>0.49152890829741913</v>
      </c>
      <c r="E61" s="122"/>
      <c r="F61" s="93"/>
      <c r="G61" s="94"/>
    </row>
    <row r="62" spans="1:7" ht="32.25" customHeight="1" x14ac:dyDescent="0.25">
      <c r="A62" s="89" t="s">
        <v>6</v>
      </c>
      <c r="B62" s="90"/>
      <c r="C62" s="32">
        <f>D47</f>
        <v>58577</v>
      </c>
      <c r="D62" s="33">
        <f>C62/C64%</f>
        <v>0.71980722153344801</v>
      </c>
      <c r="E62" s="122"/>
      <c r="F62" s="93"/>
      <c r="G62" s="94"/>
    </row>
    <row r="63" spans="1:7" ht="32.25" customHeight="1" x14ac:dyDescent="0.25">
      <c r="A63" s="89" t="s">
        <v>95</v>
      </c>
      <c r="B63" s="90"/>
      <c r="C63" s="32">
        <f>D54</f>
        <v>0</v>
      </c>
      <c r="D63" s="33">
        <f>C63/C64%</f>
        <v>0</v>
      </c>
      <c r="E63" s="122"/>
      <c r="F63" s="107"/>
      <c r="G63" s="108"/>
    </row>
    <row r="64" spans="1:7" ht="32.25" customHeight="1" x14ac:dyDescent="0.25">
      <c r="A64" s="109" t="s">
        <v>7</v>
      </c>
      <c r="B64" s="110"/>
      <c r="C64" s="111">
        <f>SUM(C58:C63)</f>
        <v>8137873.3426999999</v>
      </c>
      <c r="D64" s="112"/>
      <c r="E64" s="85"/>
      <c r="F64" s="95"/>
      <c r="G64" s="96"/>
    </row>
    <row r="65" spans="1:7" ht="45" customHeight="1" thickBot="1" x14ac:dyDescent="0.3">
      <c r="A65" s="103" t="s">
        <v>97</v>
      </c>
      <c r="B65" s="104"/>
      <c r="C65" s="105"/>
      <c r="D65" s="105"/>
      <c r="E65" s="105"/>
      <c r="F65" s="105"/>
      <c r="G65" s="106"/>
    </row>
  </sheetData>
  <mergeCells count="86">
    <mergeCell ref="A55:G55"/>
    <mergeCell ref="A56:G56"/>
    <mergeCell ref="A57:B57"/>
    <mergeCell ref="F57:G57"/>
    <mergeCell ref="A65:B65"/>
    <mergeCell ref="C65:G65"/>
    <mergeCell ref="A60:B60"/>
    <mergeCell ref="F60:G60"/>
    <mergeCell ref="A61:B61"/>
    <mergeCell ref="F61:G61"/>
    <mergeCell ref="A62:B62"/>
    <mergeCell ref="F62:G62"/>
    <mergeCell ref="A63:B63"/>
    <mergeCell ref="F63:G63"/>
    <mergeCell ref="A64:B64"/>
    <mergeCell ref="C64:D64"/>
    <mergeCell ref="A58:B58"/>
    <mergeCell ref="E58:E64"/>
    <mergeCell ref="F58:G58"/>
    <mergeCell ref="A59:B59"/>
    <mergeCell ref="F59:G59"/>
    <mergeCell ref="F64:G64"/>
    <mergeCell ref="A51:C51"/>
    <mergeCell ref="E51:E54"/>
    <mergeCell ref="F51:G51"/>
    <mergeCell ref="A52:C52"/>
    <mergeCell ref="F52:G52"/>
    <mergeCell ref="A53:C53"/>
    <mergeCell ref="F53:G53"/>
    <mergeCell ref="A54:C54"/>
    <mergeCell ref="F54:G54"/>
    <mergeCell ref="E46:F46"/>
    <mergeCell ref="E47:F47"/>
    <mergeCell ref="A48:G48"/>
    <mergeCell ref="A50:C50"/>
    <mergeCell ref="F50:G50"/>
    <mergeCell ref="A33:G33"/>
    <mergeCell ref="A34:G34"/>
    <mergeCell ref="A35:B35"/>
    <mergeCell ref="F35:G35"/>
    <mergeCell ref="A49:G49"/>
    <mergeCell ref="A36:B36"/>
    <mergeCell ref="F36:G43"/>
    <mergeCell ref="A37:B37"/>
    <mergeCell ref="A38:B38"/>
    <mergeCell ref="A39:B39"/>
    <mergeCell ref="A40:B40"/>
    <mergeCell ref="A41:B41"/>
    <mergeCell ref="A42:B42"/>
    <mergeCell ref="A43:B43"/>
    <mergeCell ref="A44:G44"/>
    <mergeCell ref="A45:G45"/>
    <mergeCell ref="A22:G22"/>
    <mergeCell ref="A23:G23"/>
    <mergeCell ref="F24:G24"/>
    <mergeCell ref="E25:E32"/>
    <mergeCell ref="F25:G25"/>
    <mergeCell ref="F26:G26"/>
    <mergeCell ref="F27:G27"/>
    <mergeCell ref="F28:G28"/>
    <mergeCell ref="F29:G29"/>
    <mergeCell ref="F30:G30"/>
    <mergeCell ref="F31:G31"/>
    <mergeCell ref="F32:G32"/>
    <mergeCell ref="E11:G11"/>
    <mergeCell ref="E12:G12"/>
    <mergeCell ref="E13:G13"/>
    <mergeCell ref="A14:G14"/>
    <mergeCell ref="A15:G15"/>
    <mergeCell ref="C17:C21"/>
    <mergeCell ref="D17:D21"/>
    <mergeCell ref="E17:E21"/>
    <mergeCell ref="F17:F21"/>
    <mergeCell ref="G17:G21"/>
    <mergeCell ref="E10:G10"/>
    <mergeCell ref="A1:G1"/>
    <mergeCell ref="A2:C2"/>
    <mergeCell ref="D2:G2"/>
    <mergeCell ref="A3:C3"/>
    <mergeCell ref="D3:G3"/>
    <mergeCell ref="A4:G4"/>
    <mergeCell ref="A5:G5"/>
    <mergeCell ref="E6:G6"/>
    <mergeCell ref="E7:G7"/>
    <mergeCell ref="E8:G8"/>
    <mergeCell ref="E9:G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 All Plant</vt:lpstr>
      <vt:lpstr>KRH</vt:lpstr>
      <vt:lpstr>GDI PLANT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Reetesh Sharma</dc:creator>
  <cp:lastModifiedBy>QAQC-Garden Isles</cp:lastModifiedBy>
  <dcterms:created xsi:type="dcterms:W3CDTF">2015-06-05T18:17:20Z</dcterms:created>
  <dcterms:modified xsi:type="dcterms:W3CDTF">2026-06-24T13:09:56Z</dcterms:modified>
</cp:coreProperties>
</file>