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onthly Reporting\APRIL 2026 REPORTING\"/>
    </mc:Choice>
  </mc:AlternateContent>
  <xr:revisionPtr revIDLastSave="0" documentId="13_ncr:1_{86FAD8EC-6E7A-44B9-BB88-C931DF30E0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L25" i="1"/>
  <c r="L24" i="1"/>
  <c r="L21" i="1"/>
  <c r="M19" i="1"/>
  <c r="M18" i="1"/>
  <c r="M17" i="1"/>
  <c r="M16" i="1"/>
  <c r="L17" i="1"/>
  <c r="D22" i="1"/>
  <c r="D20" i="1"/>
  <c r="D19" i="1"/>
  <c r="D18" i="1"/>
  <c r="D54" i="1"/>
  <c r="D57" i="1" s="1"/>
  <c r="D49" i="1"/>
  <c r="E49" i="1" s="1"/>
  <c r="C44" i="1"/>
  <c r="C43" i="1"/>
  <c r="D41" i="1"/>
  <c r="D40" i="1"/>
  <c r="D45" i="1" s="1"/>
  <c r="D39" i="1"/>
  <c r="D38" i="1"/>
  <c r="C33" i="1"/>
  <c r="D33" i="1" s="1"/>
  <c r="C32" i="1"/>
  <c r="D32" i="1" s="1"/>
  <c r="C31" i="1"/>
  <c r="B31" i="1"/>
  <c r="C30" i="1"/>
  <c r="D30" i="1" s="1"/>
  <c r="B30" i="1"/>
  <c r="C29" i="1"/>
  <c r="B29" i="1"/>
  <c r="D29" i="1" s="1"/>
  <c r="C28" i="1"/>
  <c r="B28" i="1"/>
  <c r="C27" i="1"/>
  <c r="D27" i="1" s="1"/>
  <c r="B21" i="1"/>
  <c r="D21" i="1" s="1"/>
  <c r="D13" i="1"/>
  <c r="D12" i="1"/>
  <c r="D11" i="1"/>
  <c r="D10" i="1"/>
  <c r="C10" i="1"/>
  <c r="B10" i="1"/>
  <c r="D9" i="1"/>
  <c r="B9" i="1"/>
  <c r="C8" i="1"/>
  <c r="D8" i="1" s="1"/>
  <c r="B7" i="1"/>
  <c r="D14" i="1" l="1"/>
  <c r="C61" i="1" s="1"/>
  <c r="B23" i="1"/>
  <c r="D31" i="1"/>
  <c r="D28" i="1"/>
  <c r="C65" i="1"/>
  <c r="C64" i="1"/>
  <c r="F38" i="1"/>
  <c r="E53" i="1"/>
  <c r="C66" i="1"/>
  <c r="E7" i="1" l="1"/>
  <c r="D34" i="1"/>
  <c r="E27" i="1" s="1"/>
  <c r="F18" i="1"/>
  <c r="D23" i="1"/>
  <c r="C63" i="1" l="1"/>
  <c r="C62" i="1"/>
  <c r="G18" i="1"/>
  <c r="C67" i="1" l="1"/>
  <c r="D63" i="1" s="1"/>
  <c r="D65" i="1" l="1"/>
  <c r="D61" i="1"/>
  <c r="D64" i="1"/>
  <c r="E61" i="1"/>
  <c r="D62" i="1"/>
  <c r="D66" i="1"/>
</calcChain>
</file>

<file path=xl/sharedStrings.xml><?xml version="1.0" encoding="utf-8"?>
<sst xmlns="http://schemas.openxmlformats.org/spreadsheetml/2006/main" count="119" uniqueCount="103">
  <si>
    <t>RMC Batching Plant Jaypee Wish Town – Monthly Overheads Report</t>
  </si>
  <si>
    <t>ALL PLANTS COMBINED (KRH &amp; GDI)</t>
  </si>
  <si>
    <t>Month &amp; Year: APRIL 2026</t>
  </si>
  <si>
    <t>Prepared by: Reetesh Sharma, Manager - Quality</t>
  </si>
  <si>
    <t>Submitted to (for review): Jitendra Sir, Mukesh Mokha Sir</t>
  </si>
  <si>
    <t>1. Machinery Overhead</t>
  </si>
  <si>
    <t>Equipment</t>
  </si>
  <si>
    <t>Qty</t>
  </si>
  <si>
    <t>Rate/Month (₹)</t>
  </si>
  <si>
    <t>Total Cost (₹)</t>
  </si>
  <si>
    <t>Machinery Cost Per CuM.</t>
  </si>
  <si>
    <t>Remarks</t>
  </si>
  <si>
    <t>Batching Plant (Main Unit)</t>
  </si>
  <si>
    <t>Company Owned Plant</t>
  </si>
  <si>
    <t>Transit Mixers (TMs)</t>
  </si>
  <si>
    <t>Rented TMs- Shared Resources, used interchangeably at both plants. Final cost amount not yet confirmed as breakdown deduction to be done from this amount</t>
  </si>
  <si>
    <t>JCB</t>
  </si>
  <si>
    <t>JCB not Deployed at KRH</t>
  </si>
  <si>
    <t>Loader</t>
  </si>
  <si>
    <t>Rented Loader</t>
  </si>
  <si>
    <t>Concrete Pumps (with pump labour &amp; tractor trolley)</t>
  </si>
  <si>
    <t>Pump not deployed at KRH in March</t>
  </si>
  <si>
    <t>Water Tanker</t>
  </si>
  <si>
    <t>Deployed for sprinkling water</t>
  </si>
  <si>
    <t>Maintenance &amp; Spares</t>
  </si>
  <si>
    <t>Mostly used for Bottom Tiles, Shovel etc. for Plant Mixer at KRH</t>
  </si>
  <si>
    <t>Total Machinery Overhead</t>
  </si>
  <si>
    <t>2. Fuel and Lubricant Overheads</t>
  </si>
  <si>
    <t>Description</t>
  </si>
  <si>
    <t>Consumption (Litres)</t>
  </si>
  <si>
    <t>TOTAL PRODUCTION (IN CuM.)</t>
  </si>
  <si>
    <t>AVERAGE FUEL CONSUMPTION (IN LITRES PER CuM.)</t>
  </si>
  <si>
    <t>Rate of Fuel (₹/Litre)</t>
  </si>
  <si>
    <t>Fuel Cost per CuM. (₹)</t>
  </si>
  <si>
    <t>Diesel – TMs (Shared Resources, used interchangeably at both plants)</t>
  </si>
  <si>
    <t>Diesel – JCB</t>
  </si>
  <si>
    <t>Diesel – LOADER</t>
  </si>
  <si>
    <t>CONCRETE PUMP &amp; TRACTOR FOR MOVEMENT OF PUMP</t>
  </si>
  <si>
    <t>Diesel – DG</t>
  </si>
  <si>
    <t>3. Raw Material Overheads</t>
  </si>
  <si>
    <t>Material</t>
  </si>
  <si>
    <t>Avg. Cost per MT (₹)</t>
  </si>
  <si>
    <t>Monthly Quantity Consumed (MT)</t>
  </si>
  <si>
    <t>Raw Material Cost Per CuM. (₹)</t>
  </si>
  <si>
    <t>Cement</t>
  </si>
  <si>
    <t>Calculated including GST</t>
  </si>
  <si>
    <t>20mm Aggregate</t>
  </si>
  <si>
    <t>10mm Aggregate</t>
  </si>
  <si>
    <t>Fine Aggregate</t>
  </si>
  <si>
    <t>Fly Ash</t>
  </si>
  <si>
    <t>Admixtures</t>
  </si>
  <si>
    <t>Water/Ice for concrete</t>
  </si>
  <si>
    <t>Total Raw Material Overhead</t>
  </si>
  <si>
    <t>4. Manpower Overhead (Labour Expenses)</t>
  </si>
  <si>
    <t>Category</t>
  </si>
  <si>
    <t>No. of Persons</t>
  </si>
  <si>
    <t>Details of Personnel Deployed</t>
  </si>
  <si>
    <t>Manpower Cost Per CuM. (₹)</t>
  </si>
  <si>
    <t>Maintenance &amp; Electrical Team</t>
  </si>
  <si>
    <t>Rohit, Pramod</t>
  </si>
  <si>
    <t>Quality Team</t>
  </si>
  <si>
    <t>Reetesh, Sandeep, Manoj, Joginder, Sonu, Akash, Shubham, Golu, NandLal</t>
  </si>
  <si>
    <t>Batching Plant Operator</t>
  </si>
  <si>
    <t>Bhola, Jitin, Sangat, Lovekush</t>
  </si>
  <si>
    <t>Production Supervision Team</t>
  </si>
  <si>
    <t>Suraj, Rajesh</t>
  </si>
  <si>
    <t>Helper / Unskilled Labour</t>
  </si>
  <si>
    <t>Deployed on part of the labour contractor</t>
  </si>
  <si>
    <t>JCB &amp; Loader Operator</t>
  </si>
  <si>
    <t>Deployed on part of the vendor</t>
  </si>
  <si>
    <t>Housekeeping / Office Staff</t>
  </si>
  <si>
    <t>Not deployed</t>
  </si>
  <si>
    <t>Total Manpower Overhead</t>
  </si>
  <si>
    <t>5. Electricity and Power Overheads</t>
  </si>
  <si>
    <t>Units Consumed (kWh)</t>
  </si>
  <si>
    <t>Rate (₹/Unit)</t>
  </si>
  <si>
    <t>Electricity Cost Per CuM. (₹)</t>
  </si>
  <si>
    <t>Power consumption overhead for overall Plant Operations</t>
  </si>
  <si>
    <t>6. Maintenance and Miscellaneous Overheads</t>
  </si>
  <si>
    <t>Miscellaneous Cost Per CuM. (₹)</t>
  </si>
  <si>
    <t>General Maintenance &amp; Repairs</t>
  </si>
  <si>
    <t xml:space="preserve">Vehicle Servicing &amp; Maintenance </t>
  </si>
  <si>
    <t>on the part of the Vendor</t>
  </si>
  <si>
    <t>Total Miscellaneous Overhead</t>
  </si>
  <si>
    <t>Overall Monthly Overheads Summary</t>
  </si>
  <si>
    <t>Overhead Category</t>
  </si>
  <si>
    <t>Total Monthly Cost (₹)</t>
  </si>
  <si>
    <t>% of Total Overhead</t>
  </si>
  <si>
    <t>Overall All-Inclusive Cost Per CuM. (₹)</t>
  </si>
  <si>
    <t>Machinery Overheads</t>
  </si>
  <si>
    <t>Fuel &amp; Lubricants Overheads</t>
  </si>
  <si>
    <t>Raw Material Overheads</t>
  </si>
  <si>
    <t>Manpower Overheads</t>
  </si>
  <si>
    <t>Electricity &amp; Power Overheads</t>
  </si>
  <si>
    <t>Maintenance &amp; Miscellaneous</t>
  </si>
  <si>
    <t>Total Monthly Overhead (₹)</t>
  </si>
  <si>
    <t>FINAL PRODUCTION FOR BOTH THE PLANTS TO BE INCLUDED IN IT</t>
  </si>
  <si>
    <t>Suggestions/Recommendations (if any):</t>
  </si>
  <si>
    <t>Total</t>
  </si>
  <si>
    <t>Calibration overhead</t>
  </si>
  <si>
    <t>Cement, Sand, Flyash, 20mm &amp; 10mm testing from external lab</t>
  </si>
  <si>
    <t>Compliance &amp; External Lab Tests etc.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</si>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</sst>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3" borderId="0" xfId="0" applyFill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horizontal="right" vertical="center" wrapText="1"/>
    </xf>
    <xf numFmtId="1" fontId="2" fillId="4" borderId="14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right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2" fillId="0" borderId="5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0" fillId="4" borderId="14" xfId="0" applyFill="1" applyBorder="1"/>
    <xf numFmtId="0" fontId="2" fillId="2" borderId="14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right" vertical="center" wrapText="1"/>
    </xf>
    <xf numFmtId="0" fontId="0" fillId="3" borderId="14" xfId="0" applyFill="1" applyBorder="1"/>
    <xf numFmtId="0" fontId="0" fillId="3" borderId="14" xfId="0" applyFill="1" applyBorder="1" applyAlignment="1">
      <alignment horizontal="right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9" fillId="0" borderId="14" xfId="0" applyFont="1" applyBorder="1"/>
    <xf numFmtId="10" fontId="0" fillId="0" borderId="0" xfId="0" applyNumberFormat="1"/>
    <xf numFmtId="16" fontId="0" fillId="0" borderId="0" xfId="0" applyNumberFormat="1"/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8" fillId="3" borderId="24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1" fontId="0" fillId="4" borderId="18" xfId="0" applyNumberFormat="1" applyFill="1" applyBorder="1" applyAlignment="1">
      <alignment horizontal="center" vertical="center" wrapText="1"/>
    </xf>
    <xf numFmtId="1" fontId="0" fillId="4" borderId="19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" fontId="0" fillId="4" borderId="20" xfId="0" applyNumberFormat="1" applyFill="1" applyBorder="1" applyAlignment="1">
      <alignment horizontal="center" vertical="center" wrapText="1"/>
    </xf>
    <xf numFmtId="2" fontId="0" fillId="4" borderId="23" xfId="0" applyNumberForma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2" fontId="2" fillId="4" borderId="17" xfId="0" applyNumberFormat="1" applyFont="1" applyFill="1" applyBorder="1" applyAlignment="1">
      <alignment horizontal="center" vertical="center"/>
    </xf>
    <xf numFmtId="2" fontId="2" fillId="4" borderId="21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4" borderId="2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 wrapText="1"/>
    </xf>
    <xf numFmtId="2" fontId="2" fillId="4" borderId="15" xfId="0" applyNumberFormat="1" applyFont="1" applyFill="1" applyBorder="1" applyAlignment="1">
      <alignment horizontal="center" vertical="center" wrapText="1"/>
    </xf>
    <xf numFmtId="2" fontId="2" fillId="4" borderId="1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2" fontId="0" fillId="4" borderId="15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0" fillId="4" borderId="15" xfId="0" applyNumberFormat="1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horizontal="center" vertical="center" wrapText="1"/>
    </xf>
    <xf numFmtId="164" fontId="2" fillId="5" borderId="20" xfId="0" applyNumberFormat="1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nthly%20Reporting\APRIL%202026%20REPORTING\Overheads%20Report%20reetesh.xlsx" TargetMode="External"/><Relationship Id="rId1" Type="http://schemas.openxmlformats.org/officeDocument/2006/relationships/externalLinkPath" Target="Overheads%20Report%20reete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ed All Plant"/>
      <sheetName val="KRH"/>
      <sheetName val="GDI PLANT"/>
    </sheetNames>
    <sheetDataSet>
      <sheetData sheetId="0"/>
      <sheetData sheetId="1">
        <row r="7">
          <cell r="B7">
            <v>1</v>
          </cell>
        </row>
        <row r="8">
          <cell r="C8">
            <v>139705.95000000001</v>
          </cell>
        </row>
        <row r="9">
          <cell r="B9">
            <v>0</v>
          </cell>
          <cell r="D9">
            <v>0</v>
          </cell>
        </row>
        <row r="10">
          <cell r="B10">
            <v>1</v>
          </cell>
          <cell r="C10">
            <v>153400</v>
          </cell>
          <cell r="D10">
            <v>153400</v>
          </cell>
        </row>
        <row r="25">
          <cell r="C25">
            <v>1516</v>
          </cell>
        </row>
        <row r="26">
          <cell r="C26">
            <v>3166.1</v>
          </cell>
        </row>
        <row r="27">
          <cell r="C27">
            <v>2987.9</v>
          </cell>
        </row>
        <row r="28">
          <cell r="C28">
            <v>5059.6000000000004</v>
          </cell>
        </row>
        <row r="29">
          <cell r="C29">
            <v>730.2</v>
          </cell>
        </row>
        <row r="30">
          <cell r="C30">
            <v>11.35</v>
          </cell>
        </row>
        <row r="31">
          <cell r="C31">
            <v>0</v>
          </cell>
        </row>
        <row r="41">
          <cell r="C41">
            <v>0</v>
          </cell>
        </row>
        <row r="42">
          <cell r="C42">
            <v>0</v>
          </cell>
        </row>
        <row r="47">
          <cell r="D47">
            <v>124957</v>
          </cell>
        </row>
        <row r="51">
          <cell r="D51">
            <v>0</v>
          </cell>
        </row>
      </sheetData>
      <sheetData sheetId="2">
        <row r="7">
          <cell r="B7">
            <v>1</v>
          </cell>
        </row>
        <row r="8">
          <cell r="C8"/>
        </row>
        <row r="9">
          <cell r="B9">
            <v>1</v>
          </cell>
          <cell r="D9">
            <v>155760</v>
          </cell>
        </row>
        <row r="10">
          <cell r="B10">
            <v>0</v>
          </cell>
          <cell r="C10"/>
          <cell r="D10">
            <v>0</v>
          </cell>
        </row>
        <row r="25">
          <cell r="C25">
            <v>442.13</v>
          </cell>
        </row>
        <row r="26">
          <cell r="C26">
            <v>1011</v>
          </cell>
        </row>
        <row r="27">
          <cell r="C27">
            <v>916</v>
          </cell>
        </row>
        <row r="28">
          <cell r="C28">
            <v>1406</v>
          </cell>
        </row>
        <row r="29">
          <cell r="C29">
            <v>207.3</v>
          </cell>
        </row>
        <row r="30">
          <cell r="C30">
            <v>3.7130000000000001</v>
          </cell>
        </row>
        <row r="31">
          <cell r="C31">
            <v>0</v>
          </cell>
        </row>
        <row r="41">
          <cell r="C41">
            <v>0</v>
          </cell>
        </row>
        <row r="42">
          <cell r="C42">
            <v>0</v>
          </cell>
        </row>
        <row r="47">
          <cell r="D47">
            <v>58577</v>
          </cell>
        </row>
        <row r="51">
          <cell r="D5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16" zoomScale="90" zoomScaleNormal="90" workbookViewId="0">
      <selection activeCell="E18" sqref="E18:E23"/>
    </sheetView>
  </sheetViews>
  <sheetFormatPr defaultRowHeight="15" x14ac:dyDescent="0.25"/>
  <cols>
    <col min="1" max="1" width="44.28515625" style="32" customWidth="1"/>
    <col min="2" max="2" width="12.140625" customWidth="1"/>
    <col min="3" max="3" width="15.28515625" customWidth="1"/>
    <col min="4" max="4" width="17.140625" customWidth="1"/>
    <col min="5" max="5" width="34.5703125" customWidth="1"/>
    <col min="6" max="6" width="12.42578125" customWidth="1"/>
    <col min="7" max="7" width="13.42578125" customWidth="1"/>
    <col min="10" max="10" width="10.7109375" bestFit="1" customWidth="1"/>
  </cols>
  <sheetData>
    <row r="1" spans="1:13" ht="63" hidden="1" customHeight="1" x14ac:dyDescent="0.25">
      <c r="A1" s="104" t="s">
        <v>0</v>
      </c>
      <c r="B1" s="105"/>
      <c r="C1" s="105"/>
      <c r="D1" s="105"/>
      <c r="E1" s="105"/>
      <c r="F1" s="105"/>
      <c r="G1" s="106"/>
    </row>
    <row r="2" spans="1:13" ht="34.5" hidden="1" customHeight="1" thickBot="1" x14ac:dyDescent="0.3">
      <c r="A2" s="107" t="s">
        <v>1</v>
      </c>
      <c r="B2" s="108"/>
      <c r="C2" s="108"/>
      <c r="D2" s="108" t="s">
        <v>2</v>
      </c>
      <c r="E2" s="108"/>
      <c r="F2" s="108"/>
      <c r="G2" s="109"/>
    </row>
    <row r="3" spans="1:13" ht="38.25" hidden="1" customHeight="1" thickBot="1" x14ac:dyDescent="0.3">
      <c r="A3" s="110" t="s">
        <v>3</v>
      </c>
      <c r="B3" s="111"/>
      <c r="C3" s="111"/>
      <c r="D3" s="111" t="s">
        <v>4</v>
      </c>
      <c r="E3" s="111"/>
      <c r="F3" s="111"/>
      <c r="G3" s="112"/>
    </row>
    <row r="4" spans="1:13" s="1" customFormat="1" ht="23.25" hidden="1" customHeight="1" x14ac:dyDescent="0.25">
      <c r="A4" s="99"/>
      <c r="B4" s="99"/>
      <c r="C4" s="99"/>
      <c r="D4" s="99"/>
      <c r="E4" s="99"/>
      <c r="F4" s="99"/>
      <c r="G4" s="99"/>
    </row>
    <row r="5" spans="1:13" ht="39" hidden="1" customHeight="1" x14ac:dyDescent="0.25">
      <c r="A5" s="85" t="s">
        <v>5</v>
      </c>
      <c r="B5" s="86"/>
      <c r="C5" s="86"/>
      <c r="D5" s="86"/>
      <c r="E5" s="86"/>
      <c r="F5" s="86"/>
      <c r="G5" s="87"/>
    </row>
    <row r="6" spans="1:13" ht="18.75" hidden="1" customHeight="1" x14ac:dyDescent="0.25">
      <c r="A6" s="2" t="s">
        <v>6</v>
      </c>
      <c r="B6" s="2" t="s">
        <v>7</v>
      </c>
      <c r="C6" s="3" t="s">
        <v>8</v>
      </c>
      <c r="D6" s="2" t="s">
        <v>9</v>
      </c>
      <c r="E6" s="4" t="s">
        <v>10</v>
      </c>
      <c r="F6" s="67" t="s">
        <v>11</v>
      </c>
      <c r="G6" s="69"/>
    </row>
    <row r="7" spans="1:13" ht="30" hidden="1" customHeight="1" x14ac:dyDescent="0.25">
      <c r="A7" s="5" t="s">
        <v>12</v>
      </c>
      <c r="B7" s="6">
        <f>[1]KRH!B7+'[1]GDI PLANT'!B7</f>
        <v>2</v>
      </c>
      <c r="C7" s="6"/>
      <c r="D7" s="6">
        <v>0</v>
      </c>
      <c r="E7" s="113">
        <f>D14/C18</f>
        <v>238.32360853709571</v>
      </c>
      <c r="F7" s="91" t="s">
        <v>13</v>
      </c>
      <c r="G7" s="92"/>
    </row>
    <row r="8" spans="1:13" ht="60" hidden="1" customHeight="1" x14ac:dyDescent="0.25">
      <c r="A8" s="5" t="s">
        <v>14</v>
      </c>
      <c r="B8" s="8">
        <v>10</v>
      </c>
      <c r="C8" s="9">
        <f>[1]KRH!C8+'[1]GDI PLANT'!C8</f>
        <v>139705.95000000001</v>
      </c>
      <c r="D8" s="10">
        <f>B8*C8</f>
        <v>1397059.5</v>
      </c>
      <c r="E8" s="113"/>
      <c r="F8" s="91" t="s">
        <v>15</v>
      </c>
      <c r="G8" s="92"/>
      <c r="J8" s="37"/>
    </row>
    <row r="9" spans="1:13" ht="45" hidden="1" customHeight="1" x14ac:dyDescent="0.25">
      <c r="A9" s="5" t="s">
        <v>16</v>
      </c>
      <c r="B9" s="6">
        <f>[1]KRH!B9+'[1]GDI PLANT'!B9</f>
        <v>1</v>
      </c>
      <c r="C9" s="6">
        <v>155760</v>
      </c>
      <c r="D9" s="6">
        <f>[1]KRH!D9+'[1]GDI PLANT'!D9</f>
        <v>155760</v>
      </c>
      <c r="E9" s="113"/>
      <c r="F9" s="91" t="s">
        <v>17</v>
      </c>
      <c r="G9" s="92"/>
    </row>
    <row r="10" spans="1:13" ht="30" hidden="1" customHeight="1" x14ac:dyDescent="0.25">
      <c r="A10" s="5" t="s">
        <v>18</v>
      </c>
      <c r="B10" s="6">
        <f>[1]KRH!B10+'[1]GDI PLANT'!B10</f>
        <v>1</v>
      </c>
      <c r="C10" s="6">
        <f>[1]KRH!C10+'[1]GDI PLANT'!C10</f>
        <v>153400</v>
      </c>
      <c r="D10" s="6">
        <f>[1]KRH!D10+'[1]GDI PLANT'!D10</f>
        <v>153400</v>
      </c>
      <c r="E10" s="113"/>
      <c r="F10" s="91" t="s">
        <v>19</v>
      </c>
      <c r="G10" s="92"/>
    </row>
    <row r="11" spans="1:13" ht="60" hidden="1" customHeight="1" x14ac:dyDescent="0.25">
      <c r="A11" s="5" t="s">
        <v>20</v>
      </c>
      <c r="B11" s="6">
        <v>1</v>
      </c>
      <c r="C11" s="6">
        <v>287000</v>
      </c>
      <c r="D11" s="6">
        <f>B11*C11</f>
        <v>287000</v>
      </c>
      <c r="E11" s="113"/>
      <c r="F11" s="91" t="s">
        <v>21</v>
      </c>
      <c r="G11" s="92"/>
    </row>
    <row r="12" spans="1:13" ht="60" hidden="1" customHeight="1" x14ac:dyDescent="0.25">
      <c r="A12" s="5" t="s">
        <v>22</v>
      </c>
      <c r="B12" s="6">
        <v>0</v>
      </c>
      <c r="C12" s="6"/>
      <c r="D12" s="6">
        <f t="shared" ref="D12:D13" si="0">B12*C12</f>
        <v>0</v>
      </c>
      <c r="E12" s="113"/>
      <c r="F12" s="91" t="s">
        <v>23</v>
      </c>
      <c r="G12" s="92"/>
    </row>
    <row r="13" spans="1:13" ht="30" hidden="1" customHeight="1" x14ac:dyDescent="0.25">
      <c r="A13" s="5" t="s">
        <v>24</v>
      </c>
      <c r="B13" s="6"/>
      <c r="C13" s="6"/>
      <c r="D13" s="8">
        <f t="shared" si="0"/>
        <v>0</v>
      </c>
      <c r="E13" s="114"/>
      <c r="F13" s="91" t="s">
        <v>25</v>
      </c>
      <c r="G13" s="92"/>
    </row>
    <row r="14" spans="1:13" ht="22.5" hidden="1" customHeight="1" x14ac:dyDescent="0.25">
      <c r="A14" s="11" t="s">
        <v>26</v>
      </c>
      <c r="B14" s="5"/>
      <c r="C14" s="12"/>
      <c r="D14" s="13">
        <f>SUM(D7:D13)</f>
        <v>1993219.5</v>
      </c>
      <c r="E14" s="7"/>
      <c r="F14" s="97"/>
      <c r="G14" s="92"/>
    </row>
    <row r="15" spans="1:13" ht="34.5" hidden="1" customHeight="1" x14ac:dyDescent="0.25">
      <c r="A15" s="98"/>
      <c r="B15" s="98"/>
      <c r="C15" s="98"/>
      <c r="D15" s="98"/>
      <c r="E15" s="98"/>
      <c r="F15" s="98"/>
      <c r="G15" s="98"/>
    </row>
    <row r="16" spans="1:13" ht="46.5" customHeight="1" x14ac:dyDescent="0.25">
      <c r="A16" s="90" t="s">
        <v>27</v>
      </c>
      <c r="B16" s="90"/>
      <c r="C16" s="90"/>
      <c r="D16" s="90"/>
      <c r="E16" s="90"/>
      <c r="F16" s="90"/>
      <c r="G16" s="90"/>
      <c r="L16">
        <v>230</v>
      </c>
      <c r="M16">
        <f>L16*5000</f>
        <v>1150000</v>
      </c>
    </row>
    <row r="17" spans="1:13" ht="60" x14ac:dyDescent="0.25">
      <c r="A17" s="14" t="s">
        <v>28</v>
      </c>
      <c r="B17" s="14" t="s">
        <v>29</v>
      </c>
      <c r="C17" s="14" t="s">
        <v>30</v>
      </c>
      <c r="D17" s="14" t="s">
        <v>31</v>
      </c>
      <c r="E17" s="14" t="s">
        <v>32</v>
      </c>
      <c r="F17" s="15" t="s">
        <v>9</v>
      </c>
      <c r="G17" s="14" t="s">
        <v>33</v>
      </c>
      <c r="L17">
        <f>D18*E18</f>
        <v>164.02451126920548</v>
      </c>
      <c r="M17">
        <f>L17*5000</f>
        <v>820122.55634602741</v>
      </c>
    </row>
    <row r="18" spans="1:13" ht="30" x14ac:dyDescent="0.25">
      <c r="A18" s="5" t="s">
        <v>34</v>
      </c>
      <c r="B18" s="6">
        <v>15580</v>
      </c>
      <c r="C18" s="75">
        <v>8363.5</v>
      </c>
      <c r="D18" s="33">
        <f>B18/C18</f>
        <v>1.8628564596161894</v>
      </c>
      <c r="E18" s="119">
        <v>88.05</v>
      </c>
      <c r="F18" s="93">
        <f>E18*B23</f>
        <v>1648296</v>
      </c>
      <c r="G18" s="94">
        <f>F18/C18</f>
        <v>197.08208286004663</v>
      </c>
      <c r="H18" s="17"/>
      <c r="M18">
        <f>M16-M17</f>
        <v>329877.44365397259</v>
      </c>
    </row>
    <row r="19" spans="1:13" x14ac:dyDescent="0.25">
      <c r="A19" s="5" t="s">
        <v>35</v>
      </c>
      <c r="B19" s="6">
        <v>1440</v>
      </c>
      <c r="C19" s="75"/>
      <c r="D19" s="33">
        <f>B19/C18</f>
        <v>0.17217672027261313</v>
      </c>
      <c r="E19" s="119"/>
      <c r="F19" s="93"/>
      <c r="G19" s="95"/>
      <c r="M19">
        <f>M18/6</f>
        <v>54979.573942328767</v>
      </c>
    </row>
    <row r="20" spans="1:13" x14ac:dyDescent="0.25">
      <c r="A20" s="5" t="s">
        <v>36</v>
      </c>
      <c r="B20" s="6">
        <v>1240</v>
      </c>
      <c r="C20" s="75"/>
      <c r="D20" s="33">
        <f>B20/C18</f>
        <v>0.14826328690141688</v>
      </c>
      <c r="E20" s="119"/>
      <c r="F20" s="93"/>
      <c r="G20" s="95"/>
    </row>
    <row r="21" spans="1:13" ht="30" x14ac:dyDescent="0.25">
      <c r="A21" s="5" t="s">
        <v>37</v>
      </c>
      <c r="B21" s="6">
        <f>440+20</f>
        <v>460</v>
      </c>
      <c r="C21" s="75"/>
      <c r="D21" s="33">
        <f>B21/C18</f>
        <v>5.5000896753751423E-2</v>
      </c>
      <c r="E21" s="119"/>
      <c r="F21" s="93"/>
      <c r="G21" s="95"/>
      <c r="J21" t="s">
        <v>102</v>
      </c>
      <c r="L21">
        <f>600*0.0045</f>
        <v>2.6999999999999997</v>
      </c>
    </row>
    <row r="22" spans="1:13" ht="15.75" thickBot="1" x14ac:dyDescent="0.3">
      <c r="A22" s="5" t="s">
        <v>38</v>
      </c>
      <c r="B22" s="6">
        <v>0</v>
      </c>
      <c r="C22" s="75"/>
      <c r="D22" s="33">
        <f>B22/C18</f>
        <v>0</v>
      </c>
      <c r="E22" s="119"/>
      <c r="F22" s="93"/>
      <c r="G22" s="95"/>
    </row>
    <row r="23" spans="1:13" ht="19.5" customHeight="1" thickBot="1" x14ac:dyDescent="0.3">
      <c r="A23" s="11" t="s">
        <v>98</v>
      </c>
      <c r="B23" s="14">
        <f>SUM(B18:B22)</f>
        <v>18720</v>
      </c>
      <c r="C23" s="91"/>
      <c r="D23" s="34">
        <f>B23/C18</f>
        <v>2.2382973635439707</v>
      </c>
      <c r="E23" s="120"/>
      <c r="F23" s="93"/>
      <c r="G23" s="96"/>
      <c r="J23" s="38">
        <v>46076</v>
      </c>
      <c r="K23">
        <v>3.3330000000000002</v>
      </c>
      <c r="L23">
        <v>28400</v>
      </c>
    </row>
    <row r="24" spans="1:13" ht="33.75" customHeight="1" x14ac:dyDescent="0.25">
      <c r="A24" s="83"/>
      <c r="B24" s="83"/>
      <c r="C24" s="83"/>
      <c r="D24" s="84"/>
      <c r="E24" s="83"/>
      <c r="F24" s="83"/>
      <c r="G24" s="83"/>
      <c r="K24">
        <f>3.3333/30</f>
        <v>0.11111</v>
      </c>
      <c r="L24">
        <f>L23/30</f>
        <v>946.66666666666663</v>
      </c>
    </row>
    <row r="25" spans="1:13" ht="38.25" customHeight="1" x14ac:dyDescent="0.25">
      <c r="A25" s="85" t="s">
        <v>39</v>
      </c>
      <c r="B25" s="86"/>
      <c r="C25" s="86"/>
      <c r="D25" s="86"/>
      <c r="E25" s="86"/>
      <c r="F25" s="86"/>
      <c r="G25" s="87"/>
      <c r="K25">
        <f>K24*23</f>
        <v>2.5555300000000001</v>
      </c>
      <c r="L25">
        <f>L24*24</f>
        <v>22720</v>
      </c>
    </row>
    <row r="26" spans="1:13" ht="45" x14ac:dyDescent="0.25">
      <c r="A26" s="2" t="s">
        <v>40</v>
      </c>
      <c r="B26" s="2" t="s">
        <v>41</v>
      </c>
      <c r="C26" s="2" t="s">
        <v>42</v>
      </c>
      <c r="D26" s="2" t="s">
        <v>9</v>
      </c>
      <c r="E26" s="18" t="s">
        <v>43</v>
      </c>
      <c r="F26" s="88" t="s">
        <v>11</v>
      </c>
      <c r="G26" s="89"/>
      <c r="K26">
        <f>23+K25</f>
        <v>25.555530000000001</v>
      </c>
    </row>
    <row r="27" spans="1:13" ht="21.75" customHeight="1" x14ac:dyDescent="0.25">
      <c r="A27" s="5" t="s">
        <v>44</v>
      </c>
      <c r="B27" s="9">
        <v>6619.99</v>
      </c>
      <c r="C27" s="6">
        <f>[1]KRH!C25+'[1]GDI PLANT'!C25</f>
        <v>1958.13</v>
      </c>
      <c r="D27" s="9">
        <f>B27*C27</f>
        <v>12962801.0187</v>
      </c>
      <c r="E27" s="117">
        <f>D34/C18</f>
        <v>4198.2469801757634</v>
      </c>
      <c r="F27" s="6" t="s">
        <v>45</v>
      </c>
      <c r="G27" s="6"/>
      <c r="K27">
        <f>L24*K26</f>
        <v>24192.5684</v>
      </c>
    </row>
    <row r="28" spans="1:13" ht="45" x14ac:dyDescent="0.25">
      <c r="A28" s="5" t="s">
        <v>46</v>
      </c>
      <c r="B28" s="16">
        <f>1280+5%*1280</f>
        <v>1344</v>
      </c>
      <c r="C28" s="6">
        <f>[1]KRH!C26+'[1]GDI PLANT'!C26</f>
        <v>4177.1000000000004</v>
      </c>
      <c r="D28" s="9">
        <f t="shared" ref="D28:D33" si="1">B28*C28</f>
        <v>5614022.4000000004</v>
      </c>
      <c r="E28" s="117"/>
      <c r="F28" s="6" t="s">
        <v>45</v>
      </c>
      <c r="G28" s="6"/>
    </row>
    <row r="29" spans="1:13" ht="45" x14ac:dyDescent="0.25">
      <c r="A29" s="5" t="s">
        <v>47</v>
      </c>
      <c r="B29" s="16">
        <f>1245+5%*1245</f>
        <v>1307.25</v>
      </c>
      <c r="C29" s="6">
        <f>[1]KRH!C27+'[1]GDI PLANT'!C27</f>
        <v>3903.9</v>
      </c>
      <c r="D29" s="9">
        <f t="shared" si="1"/>
        <v>5103373.2750000004</v>
      </c>
      <c r="E29" s="117"/>
      <c r="F29" s="6" t="s">
        <v>45</v>
      </c>
      <c r="G29" s="6"/>
    </row>
    <row r="30" spans="1:13" ht="45" x14ac:dyDescent="0.25">
      <c r="A30" s="5" t="s">
        <v>48</v>
      </c>
      <c r="B30" s="16">
        <f>1235+5%*1235</f>
        <v>1296.75</v>
      </c>
      <c r="C30" s="6">
        <f>[1]KRH!C28+'[1]GDI PLANT'!C28</f>
        <v>6465.6</v>
      </c>
      <c r="D30" s="9">
        <f t="shared" si="1"/>
        <v>8384266.8000000007</v>
      </c>
      <c r="E30" s="117"/>
      <c r="F30" s="6" t="s">
        <v>45</v>
      </c>
      <c r="G30" s="6"/>
    </row>
    <row r="31" spans="1:13" ht="45" x14ac:dyDescent="0.25">
      <c r="A31" s="5" t="s">
        <v>49</v>
      </c>
      <c r="B31" s="16">
        <f>1275+5%*1275</f>
        <v>1338.75</v>
      </c>
      <c r="C31" s="6">
        <f>[1]KRH!C29+'[1]GDI PLANT'!C29</f>
        <v>937.5</v>
      </c>
      <c r="D31" s="9">
        <f t="shared" si="1"/>
        <v>1255078.125</v>
      </c>
      <c r="E31" s="117"/>
      <c r="F31" s="6" t="s">
        <v>45</v>
      </c>
      <c r="G31" s="6"/>
    </row>
    <row r="32" spans="1:13" ht="45" x14ac:dyDescent="0.25">
      <c r="A32" s="5" t="s">
        <v>50</v>
      </c>
      <c r="B32" s="16">
        <v>119000</v>
      </c>
      <c r="C32" s="6">
        <f>[1]KRH!C30+'[1]GDI PLANT'!C30</f>
        <v>15.062999999999999</v>
      </c>
      <c r="D32" s="9">
        <f t="shared" si="1"/>
        <v>1792496.9999999998</v>
      </c>
      <c r="E32" s="117"/>
      <c r="F32" s="6" t="s">
        <v>45</v>
      </c>
      <c r="G32" s="6"/>
    </row>
    <row r="33" spans="1:7" x14ac:dyDescent="0.25">
      <c r="A33" s="5" t="s">
        <v>51</v>
      </c>
      <c r="B33" s="6"/>
      <c r="C33" s="6">
        <f>[1]KRH!C31+'[1]GDI PLANT'!C31</f>
        <v>0</v>
      </c>
      <c r="D33" s="6">
        <f t="shared" si="1"/>
        <v>0</v>
      </c>
      <c r="E33" s="117"/>
      <c r="F33" s="75"/>
      <c r="G33" s="75"/>
    </row>
    <row r="34" spans="1:7" ht="20.25" customHeight="1" thickBot="1" x14ac:dyDescent="0.3">
      <c r="A34" s="11" t="s">
        <v>52</v>
      </c>
      <c r="B34" s="6"/>
      <c r="C34" s="6"/>
      <c r="D34" s="13">
        <f>SUM(D27:D33)</f>
        <v>35112038.618699998</v>
      </c>
      <c r="E34" s="118"/>
      <c r="F34" s="75"/>
      <c r="G34" s="75"/>
    </row>
    <row r="35" spans="1:7" ht="37.5" hidden="1" customHeight="1" x14ac:dyDescent="0.25">
      <c r="A35" s="63"/>
      <c r="B35" s="63"/>
      <c r="C35" s="63"/>
      <c r="D35" s="63"/>
      <c r="E35" s="63"/>
      <c r="F35" s="63"/>
      <c r="G35" s="63"/>
    </row>
    <row r="36" spans="1:7" ht="45" hidden="1" customHeight="1" x14ac:dyDescent="0.25">
      <c r="A36" s="64" t="s">
        <v>53</v>
      </c>
      <c r="B36" s="65"/>
      <c r="C36" s="65"/>
      <c r="D36" s="65"/>
      <c r="E36" s="65"/>
      <c r="F36" s="65"/>
      <c r="G36" s="66"/>
    </row>
    <row r="37" spans="1:7" ht="45" hidden="1" customHeight="1" x14ac:dyDescent="0.25">
      <c r="A37" s="67" t="s">
        <v>54</v>
      </c>
      <c r="B37" s="69"/>
      <c r="C37" s="14" t="s">
        <v>55</v>
      </c>
      <c r="D37" s="14" t="s">
        <v>9</v>
      </c>
      <c r="E37" s="14" t="s">
        <v>56</v>
      </c>
      <c r="F37" s="70" t="s">
        <v>57</v>
      </c>
      <c r="G37" s="71"/>
    </row>
    <row r="38" spans="1:7" ht="22.5" hidden="1" customHeight="1" x14ac:dyDescent="0.25">
      <c r="A38" s="72" t="s">
        <v>58</v>
      </c>
      <c r="B38" s="74"/>
      <c r="C38" s="6">
        <v>2</v>
      </c>
      <c r="D38" s="6">
        <f>34000+20000</f>
        <v>54000</v>
      </c>
      <c r="E38" s="6" t="s">
        <v>59</v>
      </c>
      <c r="F38" s="79">
        <f>D45/C18</f>
        <v>109.45178453996533</v>
      </c>
      <c r="G38" s="80"/>
    </row>
    <row r="39" spans="1:7" ht="45" hidden="1" x14ac:dyDescent="0.25">
      <c r="A39" s="72" t="s">
        <v>60</v>
      </c>
      <c r="B39" s="74"/>
      <c r="C39" s="6">
        <v>9</v>
      </c>
      <c r="D39" s="20">
        <f>214000+151400</f>
        <v>365400</v>
      </c>
      <c r="E39" s="6" t="s">
        <v>61</v>
      </c>
      <c r="F39" s="79"/>
      <c r="G39" s="80"/>
    </row>
    <row r="40" spans="1:7" hidden="1" x14ac:dyDescent="0.25">
      <c r="A40" s="72" t="s">
        <v>62</v>
      </c>
      <c r="B40" s="74"/>
      <c r="C40" s="6">
        <v>4</v>
      </c>
      <c r="D40" s="6">
        <f>96000+40000</f>
        <v>136000</v>
      </c>
      <c r="E40" s="6" t="s">
        <v>63</v>
      </c>
      <c r="F40" s="79"/>
      <c r="G40" s="80"/>
    </row>
    <row r="41" spans="1:7" hidden="1" x14ac:dyDescent="0.25">
      <c r="A41" s="72" t="s">
        <v>64</v>
      </c>
      <c r="B41" s="74"/>
      <c r="C41" s="6">
        <v>2</v>
      </c>
      <c r="D41" s="6">
        <f>28000+32000</f>
        <v>60000</v>
      </c>
      <c r="E41" s="6" t="s">
        <v>65</v>
      </c>
      <c r="F41" s="79"/>
      <c r="G41" s="80"/>
    </row>
    <row r="42" spans="1:7" ht="30" hidden="1" x14ac:dyDescent="0.25">
      <c r="A42" s="72" t="s">
        <v>66</v>
      </c>
      <c r="B42" s="74"/>
      <c r="C42" s="8">
        <v>0</v>
      </c>
      <c r="D42" s="8">
        <v>300000</v>
      </c>
      <c r="E42" s="6" t="s">
        <v>67</v>
      </c>
      <c r="F42" s="79"/>
      <c r="G42" s="80"/>
    </row>
    <row r="43" spans="1:7" hidden="1" x14ac:dyDescent="0.25">
      <c r="A43" s="72" t="s">
        <v>68</v>
      </c>
      <c r="B43" s="74"/>
      <c r="C43" s="6">
        <f>[1]KRH!C41+'[1]GDI PLANT'!C41</f>
        <v>0</v>
      </c>
      <c r="D43" s="6">
        <v>0</v>
      </c>
      <c r="E43" s="6" t="s">
        <v>69</v>
      </c>
      <c r="F43" s="79"/>
      <c r="G43" s="80"/>
    </row>
    <row r="44" spans="1:7" hidden="1" x14ac:dyDescent="0.25">
      <c r="A44" s="72" t="s">
        <v>70</v>
      </c>
      <c r="B44" s="74"/>
      <c r="C44" s="6">
        <f>[1]KRH!C42+'[1]GDI PLANT'!C42</f>
        <v>0</v>
      </c>
      <c r="D44" s="6">
        <v>0</v>
      </c>
      <c r="E44" s="6" t="s">
        <v>71</v>
      </c>
      <c r="F44" s="79"/>
      <c r="G44" s="80"/>
    </row>
    <row r="45" spans="1:7" ht="21.75" hidden="1" customHeight="1" x14ac:dyDescent="0.25">
      <c r="A45" s="76" t="s">
        <v>72</v>
      </c>
      <c r="B45" s="78"/>
      <c r="C45" s="6"/>
      <c r="D45" s="21">
        <f>SUM(D38:D44)</f>
        <v>915400</v>
      </c>
      <c r="E45" s="6"/>
      <c r="F45" s="81"/>
      <c r="G45" s="82"/>
    </row>
    <row r="46" spans="1:7" ht="32.25" hidden="1" customHeight="1" x14ac:dyDescent="0.25">
      <c r="A46" s="83"/>
      <c r="B46" s="83"/>
      <c r="C46" s="83"/>
      <c r="D46" s="83"/>
      <c r="E46" s="83"/>
      <c r="F46" s="83"/>
      <c r="G46" s="83"/>
    </row>
    <row r="47" spans="1:7" ht="43.5" hidden="1" customHeight="1" x14ac:dyDescent="0.25">
      <c r="A47" s="64" t="s">
        <v>73</v>
      </c>
      <c r="B47" s="65"/>
      <c r="C47" s="65"/>
      <c r="D47" s="65"/>
      <c r="E47" s="65"/>
      <c r="F47" s="65"/>
      <c r="G47" s="66"/>
    </row>
    <row r="48" spans="1:7" ht="45" hidden="1" x14ac:dyDescent="0.25">
      <c r="A48" s="14" t="s">
        <v>28</v>
      </c>
      <c r="B48" s="14" t="s">
        <v>74</v>
      </c>
      <c r="C48" s="14" t="s">
        <v>75</v>
      </c>
      <c r="D48" s="14" t="s">
        <v>9</v>
      </c>
      <c r="E48" s="67" t="s">
        <v>76</v>
      </c>
      <c r="F48" s="69"/>
      <c r="G48" s="19" t="s">
        <v>11</v>
      </c>
    </row>
    <row r="49" spans="1:7" ht="30" hidden="1" x14ac:dyDescent="0.25">
      <c r="A49" s="5" t="s">
        <v>77</v>
      </c>
      <c r="B49" s="12"/>
      <c r="C49" s="12"/>
      <c r="D49" s="22">
        <f>[1]KRH!D47+'[1]GDI PLANT'!D47</f>
        <v>183534</v>
      </c>
      <c r="E49" s="61">
        <f>D49/C18</f>
        <v>21.94464040174568</v>
      </c>
      <c r="F49" s="62"/>
      <c r="G49" s="23"/>
    </row>
    <row r="50" spans="1:7" ht="42" hidden="1" customHeight="1" x14ac:dyDescent="0.25">
      <c r="A50" s="63"/>
      <c r="B50" s="63"/>
      <c r="C50" s="63"/>
      <c r="D50" s="63"/>
      <c r="E50" s="63"/>
      <c r="F50" s="63"/>
      <c r="G50" s="63"/>
    </row>
    <row r="51" spans="1:7" ht="49.5" hidden="1" customHeight="1" x14ac:dyDescent="0.25">
      <c r="A51" s="64" t="s">
        <v>78</v>
      </c>
      <c r="B51" s="65"/>
      <c r="C51" s="65"/>
      <c r="D51" s="65"/>
      <c r="E51" s="65"/>
      <c r="F51" s="65"/>
      <c r="G51" s="66"/>
    </row>
    <row r="52" spans="1:7" ht="27.75" hidden="1" customHeight="1" x14ac:dyDescent="0.25">
      <c r="A52" s="67" t="s">
        <v>28</v>
      </c>
      <c r="B52" s="68"/>
      <c r="C52" s="69"/>
      <c r="D52" s="24" t="s">
        <v>9</v>
      </c>
      <c r="E52" s="25" t="s">
        <v>79</v>
      </c>
      <c r="F52" s="70" t="s">
        <v>11</v>
      </c>
      <c r="G52" s="71"/>
    </row>
    <row r="53" spans="1:7" ht="27.75" hidden="1" customHeight="1" x14ac:dyDescent="0.25">
      <c r="A53" s="72" t="s">
        <v>99</v>
      </c>
      <c r="B53" s="73"/>
      <c r="C53" s="74"/>
      <c r="D53" s="35">
        <v>0</v>
      </c>
      <c r="E53" s="100">
        <f>D57/C18</f>
        <v>1.5424164524421593</v>
      </c>
      <c r="F53" s="102"/>
      <c r="G53" s="103"/>
    </row>
    <row r="54" spans="1:7" ht="27.75" hidden="1" customHeight="1" x14ac:dyDescent="0.25">
      <c r="A54" s="72" t="s">
        <v>80</v>
      </c>
      <c r="B54" s="73"/>
      <c r="C54" s="74"/>
      <c r="D54" s="12">
        <f>[1]KRH!D51+'[1]GDI PLANT'!D51</f>
        <v>0</v>
      </c>
      <c r="E54" s="100"/>
      <c r="F54" s="75"/>
      <c r="G54" s="75"/>
    </row>
    <row r="55" spans="1:7" ht="27.75" hidden="1" customHeight="1" x14ac:dyDescent="0.25">
      <c r="A55" s="72" t="s">
        <v>81</v>
      </c>
      <c r="B55" s="73"/>
      <c r="C55" s="74"/>
      <c r="D55" s="23">
        <v>0</v>
      </c>
      <c r="E55" s="100"/>
      <c r="F55" s="75" t="s">
        <v>82</v>
      </c>
      <c r="G55" s="75"/>
    </row>
    <row r="56" spans="1:7" ht="42" hidden="1" customHeight="1" x14ac:dyDescent="0.25">
      <c r="A56" s="72" t="s">
        <v>101</v>
      </c>
      <c r="B56" s="73"/>
      <c r="C56" s="74"/>
      <c r="D56" s="36">
        <v>12900</v>
      </c>
      <c r="E56" s="100"/>
      <c r="F56" s="75" t="s">
        <v>100</v>
      </c>
      <c r="G56" s="75"/>
    </row>
    <row r="57" spans="1:7" ht="27.75" hidden="1" customHeight="1" x14ac:dyDescent="0.25">
      <c r="A57" s="76" t="s">
        <v>83</v>
      </c>
      <c r="B57" s="77"/>
      <c r="C57" s="78"/>
      <c r="D57" s="26">
        <f>SUM(D54:D56)</f>
        <v>12900</v>
      </c>
      <c r="E57" s="101"/>
      <c r="F57" s="75"/>
      <c r="G57" s="75"/>
    </row>
    <row r="58" spans="1:7" ht="43.5" hidden="1" customHeight="1" thickBot="1" x14ac:dyDescent="0.3">
      <c r="A58" s="63"/>
      <c r="B58" s="63"/>
      <c r="C58" s="63"/>
      <c r="D58" s="63"/>
      <c r="E58" s="63"/>
      <c r="F58" s="63"/>
      <c r="G58" s="63"/>
    </row>
    <row r="59" spans="1:7" ht="46.5" customHeight="1" x14ac:dyDescent="0.25">
      <c r="A59" s="58" t="s">
        <v>84</v>
      </c>
      <c r="B59" s="59"/>
      <c r="C59" s="59"/>
      <c r="D59" s="59"/>
      <c r="E59" s="59"/>
      <c r="F59" s="59"/>
      <c r="G59" s="60"/>
    </row>
    <row r="60" spans="1:7" ht="36" customHeight="1" x14ac:dyDescent="0.25">
      <c r="A60" s="55" t="s">
        <v>85</v>
      </c>
      <c r="B60" s="56"/>
      <c r="C60" s="27" t="s">
        <v>86</v>
      </c>
      <c r="D60" s="27" t="s">
        <v>87</v>
      </c>
      <c r="E60" s="28" t="s">
        <v>88</v>
      </c>
      <c r="F60" s="56" t="s">
        <v>11</v>
      </c>
      <c r="G60" s="57"/>
    </row>
    <row r="61" spans="1:7" ht="32.25" customHeight="1" x14ac:dyDescent="0.25">
      <c r="A61" s="45" t="s">
        <v>89</v>
      </c>
      <c r="B61" s="46"/>
      <c r="C61" s="29">
        <f>D14</f>
        <v>1993219.5</v>
      </c>
      <c r="D61" s="30">
        <f>C61/C67%</f>
        <v>4.9998748138740021</v>
      </c>
      <c r="E61" s="115">
        <f>C67/C18</f>
        <v>4766.5915129670593</v>
      </c>
      <c r="F61" s="43"/>
      <c r="G61" s="44"/>
    </row>
    <row r="62" spans="1:7" ht="32.25" customHeight="1" x14ac:dyDescent="0.25">
      <c r="A62" s="45" t="s">
        <v>90</v>
      </c>
      <c r="B62" s="46"/>
      <c r="C62" s="31">
        <f>F18</f>
        <v>1648296</v>
      </c>
      <c r="D62" s="30">
        <f>C62/C67%</f>
        <v>4.1346543399807505</v>
      </c>
      <c r="E62" s="115"/>
      <c r="F62" s="43"/>
      <c r="G62" s="44"/>
    </row>
    <row r="63" spans="1:7" ht="32.25" customHeight="1" x14ac:dyDescent="0.25">
      <c r="A63" s="45" t="s">
        <v>91</v>
      </c>
      <c r="B63" s="46"/>
      <c r="C63" s="29">
        <f>D34</f>
        <v>35112038.618699998</v>
      </c>
      <c r="D63" s="30">
        <f>C63/C67%</f>
        <v>88.07650013127477</v>
      </c>
      <c r="E63" s="115"/>
      <c r="F63" s="43"/>
      <c r="G63" s="44"/>
    </row>
    <row r="64" spans="1:7" ht="32.25" customHeight="1" x14ac:dyDescent="0.25">
      <c r="A64" s="45" t="s">
        <v>92</v>
      </c>
      <c r="B64" s="46"/>
      <c r="C64" s="31">
        <f>D45</f>
        <v>915400</v>
      </c>
      <c r="D64" s="30">
        <f>C64/C67%</f>
        <v>2.2962274875497966</v>
      </c>
      <c r="E64" s="115"/>
      <c r="F64" s="43"/>
      <c r="G64" s="44"/>
    </row>
    <row r="65" spans="1:8" ht="32.25" customHeight="1" x14ac:dyDescent="0.25">
      <c r="A65" s="45" t="s">
        <v>93</v>
      </c>
      <c r="B65" s="46"/>
      <c r="C65" s="31">
        <f>D49</f>
        <v>183534</v>
      </c>
      <c r="D65" s="30">
        <f>C65/C67%</f>
        <v>0.46038433001962459</v>
      </c>
      <c r="E65" s="115"/>
      <c r="F65" s="43"/>
      <c r="G65" s="44"/>
    </row>
    <row r="66" spans="1:8" ht="32.25" customHeight="1" x14ac:dyDescent="0.25">
      <c r="A66" s="45" t="s">
        <v>94</v>
      </c>
      <c r="B66" s="46"/>
      <c r="C66" s="31">
        <f>D57</f>
        <v>12900</v>
      </c>
      <c r="D66" s="30">
        <f>C66/C67%</f>
        <v>3.2358897301062242E-2</v>
      </c>
      <c r="E66" s="115"/>
      <c r="F66" s="47"/>
      <c r="G66" s="48"/>
    </row>
    <row r="67" spans="1:8" ht="32.25" customHeight="1" x14ac:dyDescent="0.25">
      <c r="A67" s="49" t="s">
        <v>95</v>
      </c>
      <c r="B67" s="50"/>
      <c r="C67" s="51">
        <f>SUM(C61:C66)</f>
        <v>39865388.118699998</v>
      </c>
      <c r="D67" s="52"/>
      <c r="E67" s="116"/>
      <c r="F67" s="53"/>
      <c r="G67" s="54"/>
      <c r="H67" t="s">
        <v>96</v>
      </c>
    </row>
    <row r="68" spans="1:8" ht="45" customHeight="1" thickBot="1" x14ac:dyDescent="0.3">
      <c r="A68" s="39" t="s">
        <v>97</v>
      </c>
      <c r="B68" s="40"/>
      <c r="C68" s="41"/>
      <c r="D68" s="41"/>
      <c r="E68" s="41"/>
      <c r="F68" s="41"/>
      <c r="G68" s="42"/>
    </row>
  </sheetData>
  <mergeCells count="83">
    <mergeCell ref="A4:G4"/>
    <mergeCell ref="A53:C53"/>
    <mergeCell ref="E53:E57"/>
    <mergeCell ref="F53:G53"/>
    <mergeCell ref="A1:G1"/>
    <mergeCell ref="A2:C2"/>
    <mergeCell ref="D2:G2"/>
    <mergeCell ref="A3:C3"/>
    <mergeCell ref="D3:G3"/>
    <mergeCell ref="A5:G5"/>
    <mergeCell ref="F6:G6"/>
    <mergeCell ref="E7:E13"/>
    <mergeCell ref="F7:G7"/>
    <mergeCell ref="F8:G8"/>
    <mergeCell ref="F9:G9"/>
    <mergeCell ref="F10:G10"/>
    <mergeCell ref="F11:G11"/>
    <mergeCell ref="F12:G12"/>
    <mergeCell ref="F13:G13"/>
    <mergeCell ref="F14:G14"/>
    <mergeCell ref="A15:G15"/>
    <mergeCell ref="A16:G16"/>
    <mergeCell ref="C18:C23"/>
    <mergeCell ref="E18:E23"/>
    <mergeCell ref="F18:F23"/>
    <mergeCell ref="G18:G23"/>
    <mergeCell ref="A24:G24"/>
    <mergeCell ref="A25:G25"/>
    <mergeCell ref="F26:G26"/>
    <mergeCell ref="E27:E34"/>
    <mergeCell ref="F33:G33"/>
    <mergeCell ref="F34:G34"/>
    <mergeCell ref="E48:F48"/>
    <mergeCell ref="A35:G35"/>
    <mergeCell ref="A36:G36"/>
    <mergeCell ref="A37:B37"/>
    <mergeCell ref="F37:G37"/>
    <mergeCell ref="A38:B38"/>
    <mergeCell ref="F38:G45"/>
    <mergeCell ref="A39:B39"/>
    <mergeCell ref="A40:B40"/>
    <mergeCell ref="A41:B41"/>
    <mergeCell ref="A42:B42"/>
    <mergeCell ref="A43:B43"/>
    <mergeCell ref="A44:B44"/>
    <mergeCell ref="A45:B45"/>
    <mergeCell ref="A46:G46"/>
    <mergeCell ref="A47:G47"/>
    <mergeCell ref="A59:G59"/>
    <mergeCell ref="E49:F49"/>
    <mergeCell ref="A50:G50"/>
    <mergeCell ref="A51:G51"/>
    <mergeCell ref="A52:C52"/>
    <mergeCell ref="F52:G52"/>
    <mergeCell ref="A54:C54"/>
    <mergeCell ref="F54:G54"/>
    <mergeCell ref="A55:C55"/>
    <mergeCell ref="F55:G55"/>
    <mergeCell ref="A56:C56"/>
    <mergeCell ref="F56:G56"/>
    <mergeCell ref="A57:C57"/>
    <mergeCell ref="F57:G57"/>
    <mergeCell ref="A58:G58"/>
    <mergeCell ref="A60:B60"/>
    <mergeCell ref="F60:G60"/>
    <mergeCell ref="A61:B61"/>
    <mergeCell ref="E61:E67"/>
    <mergeCell ref="F61:G61"/>
    <mergeCell ref="A62:B62"/>
    <mergeCell ref="F62:G62"/>
    <mergeCell ref="A63:B63"/>
    <mergeCell ref="F63:G63"/>
    <mergeCell ref="A64:B64"/>
    <mergeCell ref="A68:B68"/>
    <mergeCell ref="C68:G68"/>
    <mergeCell ref="F64:G64"/>
    <mergeCell ref="A65:B65"/>
    <mergeCell ref="F65:G65"/>
    <mergeCell ref="A66:B66"/>
    <mergeCell ref="F66:G66"/>
    <mergeCell ref="A67:B67"/>
    <mergeCell ref="C67:D67"/>
    <mergeCell ref="F67:G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Reetesh Sharma</dc:creator>
  <cp:lastModifiedBy>QAQC-Garden Isles</cp:lastModifiedBy>
  <dcterms:created xsi:type="dcterms:W3CDTF">2015-06-05T18:17:20Z</dcterms:created>
  <dcterms:modified xsi:type="dcterms:W3CDTF">2026-06-24T13:13:26Z</dcterms:modified>
</cp:coreProperties>
</file>